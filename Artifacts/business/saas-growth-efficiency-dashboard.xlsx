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vmlDrawing5.vml" ContentType="application/vnd.openxmlformats-officedocument.vmlDrawing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6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Magic Number" sheetId="2" state="visible" r:id="rId4"/>
    <sheet name="Rule of 40" sheetId="3" state="visible" r:id="rId5"/>
    <sheet name="NRR Waterfall" sheetId="4" state="visible" r:id="rId6"/>
    <sheet name="LTVCAC by Channel" sheetId="5" state="visible" r:id="rId7"/>
    <sheet name="CAC Payback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Net New ARR this quarter, annualized ($M).</t>
        </r>
      </text>
    </comment>
    <comment ref="B6" authorId="0">
      <text>
        <r>
          <rPr>
            <sz val="10"/>
            <rFont val="Arial"/>
            <family val="2"/>
          </rPr>
          <t xml:space="preserve">Prior-quarter Sales &amp; Marketing spend ($M) — must be the PRIOR quarter, not this quarter.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This-quarter revenue growth %.</t>
        </r>
      </text>
    </comment>
    <comment ref="C10" authorId="0">
      <text>
        <r>
          <rPr>
            <sz val="10"/>
            <rFont val="Arial"/>
            <family val="2"/>
          </rPr>
          <t xml:space="preserve">This-quarter FCF margin % — name the margin type and keep it consistent across periods.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Starting ARR ($M) — editable input feeding the NRR waterfall.</t>
        </r>
      </text>
    </comment>
    <comment ref="B6" authorId="0">
      <text>
        <r>
          <rPr>
            <sz val="10"/>
            <rFont val="Arial"/>
            <family val="2"/>
          </rPr>
          <t xml:space="preserve">Expansion ($M) — editable input feeding the NRR waterfall.</t>
        </r>
      </text>
    </comment>
    <comment ref="B7" authorId="0">
      <text>
        <r>
          <rPr>
            <sz val="10"/>
            <rFont val="Arial"/>
            <family val="2"/>
          </rPr>
          <t xml:space="preserve">Churn ($M) — editable input feeding the NRR waterfall.</t>
        </r>
      </text>
    </comment>
    <comment ref="B8" authorId="0">
      <text>
        <r>
          <rPr>
            <sz val="10"/>
            <rFont val="Arial"/>
            <family val="2"/>
          </rPr>
          <t xml:space="preserve">Contraction ($M) — editable input feeding the NRR waterfall.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CAC ($) for Cold Outreach.</t>
        </r>
      </text>
    </comment>
    <comment ref="B6" authorId="0">
      <text>
        <r>
          <rPr>
            <sz val="10"/>
            <rFont val="Arial"/>
            <family val="2"/>
          </rPr>
          <t xml:space="preserve">CAC ($) for Google Ads.</t>
        </r>
      </text>
    </comment>
    <comment ref="B7" authorId="0">
      <text>
        <r>
          <rPr>
            <sz val="10"/>
            <rFont val="Arial"/>
            <family val="2"/>
          </rPr>
          <t xml:space="preserve">CAC ($) for LinkedIn Ads.</t>
        </r>
      </text>
    </comment>
    <comment ref="B8" authorId="0">
      <text>
        <r>
          <rPr>
            <sz val="10"/>
            <rFont val="Arial"/>
            <family val="2"/>
          </rPr>
          <t xml:space="preserve">CAC ($) for Events.</t>
        </r>
      </text>
    </comment>
    <comment ref="B9" authorId="0">
      <text>
        <r>
          <rPr>
            <sz val="10"/>
            <rFont val="Arial"/>
            <family val="2"/>
          </rPr>
          <t xml:space="preserve">CAC ($) for Referral.</t>
        </r>
      </text>
    </comment>
    <comment ref="B10" authorId="0">
      <text>
        <r>
          <rPr>
            <sz val="10"/>
            <rFont val="Arial"/>
            <family val="2"/>
          </rPr>
          <t xml:space="preserve">CAC ($) for Inbound SEO.</t>
        </r>
      </text>
    </comment>
    <comment ref="C5" authorId="0">
      <text>
        <r>
          <rPr>
            <sz val="10"/>
            <rFont val="Arial"/>
            <family val="2"/>
          </rPr>
          <t xml:space="preserve">LTV ($) for Cold Outreach.</t>
        </r>
      </text>
    </comment>
    <comment ref="C6" authorId="0">
      <text>
        <r>
          <rPr>
            <sz val="10"/>
            <rFont val="Arial"/>
            <family val="2"/>
          </rPr>
          <t xml:space="preserve">LTV ($) for Google Ads.</t>
        </r>
      </text>
    </comment>
    <comment ref="C7" authorId="0">
      <text>
        <r>
          <rPr>
            <sz val="10"/>
            <rFont val="Arial"/>
            <family val="2"/>
          </rPr>
          <t xml:space="preserve">LTV ($) for LinkedIn Ads.</t>
        </r>
      </text>
    </comment>
    <comment ref="C8" authorId="0">
      <text>
        <r>
          <rPr>
            <sz val="10"/>
            <rFont val="Arial"/>
            <family val="2"/>
          </rPr>
          <t xml:space="preserve">LTV ($) for Events.</t>
        </r>
      </text>
    </comment>
    <comment ref="C9" authorId="0">
      <text>
        <r>
          <rPr>
            <sz val="10"/>
            <rFont val="Arial"/>
            <family val="2"/>
          </rPr>
          <t xml:space="preserve">LTV ($) for Referral.</t>
        </r>
      </text>
    </comment>
    <comment ref="C10" authorId="0">
      <text>
        <r>
          <rPr>
            <sz val="10"/>
            <rFont val="Arial"/>
            <family val="2"/>
          </rPr>
          <t xml:space="preserve">LTV ($) for Inbound SEO.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Customer acquisition cost ($).</t>
        </r>
      </text>
    </comment>
    <comment ref="B6" authorId="0">
      <text>
        <r>
          <rPr>
            <sz val="10"/>
            <rFont val="Arial"/>
            <family val="2"/>
          </rPr>
          <t xml:space="preserve">MRR per customer ($).</t>
        </r>
      </text>
    </comment>
    <comment ref="B7" authorId="0">
      <text>
        <r>
          <rPr>
            <sz val="10"/>
            <rFont val="Arial"/>
            <family val="2"/>
          </rPr>
          <t xml:space="preserve">Gross margin %.</t>
        </r>
      </text>
    </comment>
  </commentList>
</comments>
</file>

<file path=xl/sharedStrings.xml><?xml version="1.0" encoding="utf-8"?>
<sst xmlns="http://schemas.openxmlformats.org/spreadsheetml/2006/main" count="112" uniqueCount="91">
  <si>
    <t xml:space="preserve">5-Metric SaaS Growth Efficiency Dashboard</t>
  </si>
  <si>
    <t xml:space="preserve">Live board panel — edit inputs on each metric tab; this summary pulls the computed results. Formulas/bands: saas-growth-efficiency-metrics skill.</t>
  </si>
  <si>
    <t xml:space="preserve">Metric</t>
  </si>
  <si>
    <t xml:space="preserve">Value</t>
  </si>
  <si>
    <t xml:space="preserve">Band</t>
  </si>
  <si>
    <t xml:space="preserve">Review order</t>
  </si>
  <si>
    <t xml:space="preserve">What it means</t>
  </si>
  <si>
    <t xml:space="preserve">Magic Number</t>
  </si>
  <si>
    <t xml:space="preserve">1. Efficiency gate</t>
  </si>
  <si>
    <t xml:space="preserve">Net New ARR ÷ prior-quarter S&amp;M spend. &lt;0.5 broken · 0.5-0.75 fair · &gt;0.75 efficient.</t>
  </si>
  <si>
    <t xml:space="preserve">Rule of 40</t>
  </si>
  <si>
    <t xml:space="preserve">Growth % + FCF margin %. Target ≥40%; read the two components separately, never just the sum.</t>
  </si>
  <si>
    <t xml:space="preserve">Net Revenue Retention</t>
  </si>
  <si>
    <t xml:space="preserve">2. Existing-base health</t>
  </si>
  <si>
    <t xml:space="preserve">(Start+Expansion-Churn-Contraction)/Start. &lt;100% shrinking · 100-110% healthy · 110-120% strong · 120%+ best-in-class.</t>
  </si>
  <si>
    <t xml:space="preserve">LTV:CAC — best channel</t>
  </si>
  <si>
    <t xml:space="preserve">3. Where growth is efficient</t>
  </si>
  <si>
    <t xml:space="preserve">Per-channel LTV/CAC, never blended. &lt;2:1 kill zone · 2-3:1 breakeven · &gt;3:1 scale.</t>
  </si>
  <si>
    <t xml:space="preserve">CAC Payback</t>
  </si>
  <si>
    <t xml:space="preserve">4. Cash-timing check</t>
  </si>
  <si>
    <t xml:space="preserve">CAC ÷ (MRR/customer × gross margin). &lt;12mo excellent · 12-18mo healthy · &gt;18mo cash problem.</t>
  </si>
  <si>
    <t xml:space="preserve">Board-review order (run in this sequence, not metric-list order)</t>
  </si>
  <si>
    <t xml:space="preserve">1. Magic Number + Rule of 40 first — the efficiency gate. If both are weak, fix funnel/pricing before the rest.</t>
  </si>
  <si>
    <t xml:space="preserve">2. NRR next — is the existing base healthy. A strong Magic Number over shrinking NRR is new-logo growth masking churn.</t>
  </si>
  <si>
    <t xml:space="preserve">3. LTV:CAC by channel — where efficient growth is actually coming from; reallocate budget accordingly.</t>
  </si>
  <si>
    <t xml:space="preserve">4. CAC Payback last — the cash-timing check that ratio-based LTV:CAC can miss entirely.</t>
  </si>
  <si>
    <t xml:space="preserve">Net New ARR (annualized) ÷ prior-quarter S&amp;M spend. Must lag S&amp;M by one quarter.</t>
  </si>
  <si>
    <t xml:space="preserve">INPUTS</t>
  </si>
  <si>
    <t xml:space="preserve">Net New ARR ($M, annualized)</t>
  </si>
  <si>
    <t xml:space="preserve">Prior-quarter S&amp;M spend ($M)</t>
  </si>
  <si>
    <t xml:space="preserve">RESULT</t>
  </si>
  <si>
    <t xml:space="preserve">BENCHMARK BANDS</t>
  </si>
  <si>
    <t xml:space="preserve">Range</t>
  </si>
  <si>
    <t xml:space="preserve">Action</t>
  </si>
  <si>
    <t xml:space="preserve">Broken</t>
  </si>
  <si>
    <t xml:space="preserve">&lt; 0.50</t>
  </si>
  <si>
    <t xml:space="preserve">S&amp;M is not converting — pause spend, fix funnel/ICP before scaling.</t>
  </si>
  <si>
    <t xml:space="preserve">Fair</t>
  </si>
  <si>
    <t xml:space="preserve">0.50 – 0.75</t>
  </si>
  <si>
    <t xml:space="preserve">Invest cautiously; dial in before adding fuel.</t>
  </si>
  <si>
    <t xml:space="preserve">Efficient</t>
  </si>
  <si>
    <t xml:space="preserve">&gt; 0.75</t>
  </si>
  <si>
    <t xml:space="preserve">Scale now — S&amp;M is a reliable lever.</t>
  </si>
  <si>
    <t xml:space="preserve">Trap: must lag S&amp;M by one quarter — this quarter's spend buys next quarter's bookings.</t>
  </si>
  <si>
    <t xml:space="preserve">Revenue growth % + FCF margin %. Target: sum ≥ 40%. Read the two components separately.</t>
  </si>
  <si>
    <t xml:space="preserve">Period</t>
  </si>
  <si>
    <t xml:space="preserve">Growth %</t>
  </si>
  <si>
    <t xml:space="preserve">FCF Margin %</t>
  </si>
  <si>
    <t xml:space="preserve">Total %</t>
  </si>
  <si>
    <t xml:space="preserve">Oct</t>
  </si>
  <si>
    <t xml:space="preserve">Nov</t>
  </si>
  <si>
    <t xml:space="preserve">Dec</t>
  </si>
  <si>
    <t xml:space="preserve">Jan</t>
  </si>
  <si>
    <t xml:space="preserve">Feb</t>
  </si>
  <si>
    <t xml:space="preserve">Mar (current)</t>
  </si>
  <si>
    <t xml:space="preserve">Rule of 40 (current quarter)</t>
  </si>
  <si>
    <t xml:space="preserve">(Starting ARR + Expansion − Churn − Contraction) ÷ Starting ARR. Present as a waterfall, never a blended %.</t>
  </si>
  <si>
    <t xml:space="preserve">INPUTS ($M)</t>
  </si>
  <si>
    <t xml:space="preserve">Starting ARR</t>
  </si>
  <si>
    <t xml:space="preserve">Expansion</t>
  </si>
  <si>
    <t xml:space="preserve">Churn</t>
  </si>
  <si>
    <t xml:space="preserve">Contraction</t>
  </si>
  <si>
    <t xml:space="preserve">NRR %</t>
  </si>
  <si>
    <t xml:space="preserve">WATERFALL HELPER (stacked-bar technique — do not edit)</t>
  </si>
  <si>
    <t xml:space="preserve">Step</t>
  </si>
  <si>
    <t xml:space="preserve">Base (invisible)</t>
  </si>
  <si>
    <t xml:space="preserve">Value (visible)</t>
  </si>
  <si>
    <t xml:space="preserve">Ending ARR</t>
  </si>
  <si>
    <t xml:space="preserve">Starting</t>
  </si>
  <si>
    <t xml:space="preserve">Ending</t>
  </si>
  <si>
    <t xml:space="preserve">LTV : CAC by Channel</t>
  </si>
  <si>
    <t xml:space="preserve">Never blend channels into one company-wide ratio. &lt;2:1 kill zone · 2-3:1 breakeven · &gt;3:1 scale.</t>
  </si>
  <si>
    <t xml:space="preserve">Channel</t>
  </si>
  <si>
    <t xml:space="preserve">CAC ($)</t>
  </si>
  <si>
    <t xml:space="preserve">LTV ($)</t>
  </si>
  <si>
    <t xml:space="preserve">Ratio</t>
  </si>
  <si>
    <t xml:space="preserve">Cold Outreach</t>
  </si>
  <si>
    <t xml:space="preserve">Google Ads</t>
  </si>
  <si>
    <t xml:space="preserve">LinkedIn Ads</t>
  </si>
  <si>
    <t xml:space="preserve">Events</t>
  </si>
  <si>
    <t xml:space="preserve">Referral</t>
  </si>
  <si>
    <t xml:space="preserve">Inbound SEO</t>
  </si>
  <si>
    <t xml:space="preserve">BEST CHANNEL (highest ratio)</t>
  </si>
  <si>
    <t xml:space="preserve">CAC Payback Period</t>
  </si>
  <si>
    <t xml:space="preserve">CAC ÷ (MRR per customer × gross margin %). &lt;12mo excellent · 12-18mo healthy · &gt;18mo cash problem.</t>
  </si>
  <si>
    <t xml:space="preserve">MRR per customer ($)</t>
  </si>
  <si>
    <t xml:space="preserve">Gross margin %</t>
  </si>
  <si>
    <t xml:space="preserve">Payback period (months)</t>
  </si>
  <si>
    <t xml:space="preserve">Monthly gross profit ($)</t>
  </si>
  <si>
    <t xml:space="preserve">Month</t>
  </si>
  <si>
    <t xml:space="preserve">Cumulative gross profit ($)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</si>
</sst>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%"/>
    <numFmt numFmtId="167" formatCode="0%"/>
    <numFmt numFmtId="168" formatCode="0.0"/>
    <numFmt numFmtId="169" formatCode="\$#,##0.00"/>
    <numFmt numFmtId="170" formatCode="\$#,##0"/>
    <numFmt numFmtId="171" formatCode="0.0\x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1F2E"/>
      <name val="Arial"/>
      <family val="0"/>
      <charset val="1"/>
    </font>
    <font>
      <i val="true"/>
      <sz val="10"/>
      <color rgb="FF5A64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0"/>
      <color rgb="FF5A648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B93AC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B5FA8"/>
        <bgColor rgb="FF5A6480"/>
      </patternFill>
    </fill>
    <fill>
      <patternFill patternType="solid">
        <fgColor rgb="FFFFFF00"/>
        <bgColor rgb="FFFFFF00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6E0"/>
      </left>
      <right style="thin">
        <color rgb="FFD1D6E0"/>
      </right>
      <top style="thin">
        <color rgb="FFD1D6E0"/>
      </top>
      <bottom style="thin">
        <color rgb="FFD1D6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D9D9D9"/>
      <rgbColor rgb="FF878787"/>
      <rgbColor rgb="FF9999FF"/>
      <rgbColor rgb="FFC0504D"/>
      <rgbColor rgb="FFFFFFCC"/>
      <rgbColor rgb="FFCCFFFF"/>
      <rgbColor rgb="FF660066"/>
      <rgbColor rgb="FFFF8080"/>
      <rgbColor rgb="FF2B5FA8"/>
      <rgbColor rgb="FFD1D6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A7EBB"/>
      <rgbColor rgb="FF33CCCC"/>
      <rgbColor rgb="FF99CC00"/>
      <rgbColor rgb="FFFFCC00"/>
      <rgbColor rgb="FFFF9900"/>
      <rgbColor rgb="FFFF6600"/>
      <rgbColor rgb="FF5A6480"/>
      <rgbColor rgb="FF8B93AC"/>
      <rgbColor rgb="FF003366"/>
      <rgbColor rgb="FF4F81BD"/>
      <rgbColor rgb="FF003300"/>
      <rgbColor rgb="FF333300"/>
      <rgbColor rgb="FF993300"/>
      <rgbColor rgb="FF993366"/>
      <rgbColor rgb="FF333399"/>
      <rgbColor rgb="FF1A1F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Rule of 40 — growth % + margin % by period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'Rule of 40'!B4</c:f>
              <c:strCache>
                <c:ptCount val="1"/>
                <c:pt idx="0">
                  <c:v>Growth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'Rule of 40'!$A$5:$A$10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 (current)</c:v>
                </c:pt>
              </c:strCache>
            </c:strRef>
          </c:cat>
          <c:val>
            <c:numRef>
              <c:f>'Rule of 40'!$B$5:$B$10</c:f>
              <c:numCache>
                <c:formatCode>0.0%</c:formatCode>
                <c:ptCount val="6"/>
                <c:pt idx="0">
                  <c:v>0.31</c:v>
                </c:pt>
                <c:pt idx="1">
                  <c:v>0.33</c:v>
                </c:pt>
                <c:pt idx="2">
                  <c:v>0.34</c:v>
                </c:pt>
                <c:pt idx="3">
                  <c:v>0.39</c:v>
                </c:pt>
                <c:pt idx="4">
                  <c:v>0.44</c:v>
                </c:pt>
                <c:pt idx="5">
                  <c:v>0.44</c:v>
                </c:pt>
              </c:numCache>
            </c:numRef>
          </c:val>
        </c:ser>
        <c:ser>
          <c:idx val="1"/>
          <c:order val="1"/>
          <c:tx>
            <c:strRef>
              <c:f>'Rule of 40'!C4</c:f>
              <c:strCache>
                <c:ptCount val="1"/>
                <c:pt idx="0">
                  <c:v>FCF Margin %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'Rule of 40'!$A$5:$A$10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 (current)</c:v>
                </c:pt>
              </c:strCache>
            </c:strRef>
          </c:cat>
          <c:val>
            <c:numRef>
              <c:f>'Rule of 40'!$C$5:$C$10</c:f>
              <c:numCache>
                <c:formatCode>0.0%</c:formatCode>
                <c:ptCount val="6"/>
                <c:pt idx="0">
                  <c:v>-0.02</c:v>
                </c:pt>
                <c:pt idx="1">
                  <c:v>-0.02</c:v>
                </c:pt>
                <c:pt idx="2">
                  <c:v>-0.01</c:v>
                </c:pt>
                <c:pt idx="3">
                  <c:v>0.005</c:v>
                </c:pt>
                <c:pt idx="4">
                  <c:v>0.015</c:v>
                </c:pt>
                <c:pt idx="5">
                  <c:v>0.03</c:v>
                </c:pt>
              </c:numCache>
            </c:numRef>
          </c:val>
        </c:ser>
        <c:gapWidth val="150"/>
        <c:overlap val="100"/>
        <c:axId val="32795462"/>
        <c:axId val="99522806"/>
      </c:barChart>
      <c:catAx>
        <c:axId val="327954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522806"/>
        <c:crosses val="autoZero"/>
        <c:auto val="1"/>
        <c:lblAlgn val="ctr"/>
        <c:lblOffset val="100"/>
        <c:noMultiLvlLbl val="0"/>
      </c:catAx>
      <c:valAx>
        <c:axId val="995228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7954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NRR Waterfall: Starting → Expansion → Churn → Contraction → Ending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'NRR Waterfall'!B16</c:f>
              <c:strCache>
                <c:ptCount val="1"/>
                <c:pt idx="0">
                  <c:v>Base (invisible)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'NRR Waterfall'!$A$17:$A$21</c:f>
              <c:strCache>
                <c:ptCount val="5"/>
                <c:pt idx="0">
                  <c:v>Starting</c:v>
                </c:pt>
                <c:pt idx="1">
                  <c:v>Expansion</c:v>
                </c:pt>
                <c:pt idx="2">
                  <c:v>Churn</c:v>
                </c:pt>
                <c:pt idx="3">
                  <c:v>Contraction</c:v>
                </c:pt>
                <c:pt idx="4">
                  <c:v>Ending</c:v>
                </c:pt>
              </c:strCache>
            </c:strRef>
          </c:cat>
          <c:val>
            <c:numRef>
              <c:f>'NRR Waterfall'!$B$17:$B$21</c:f>
              <c:numCache>
                <c:formatCode>\$#,##0.00</c:formatCode>
                <c:ptCount val="5"/>
                <c:pt idx="0">
                  <c:v>0</c:v>
                </c:pt>
                <c:pt idx="1">
                  <c:v>3.15</c:v>
                </c:pt>
                <c:pt idx="2">
                  <c:v>3.85</c:v>
                </c:pt>
                <c:pt idx="3">
                  <c:v>3.72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'NRR Waterfall'!C16</c:f>
              <c:strCache>
                <c:ptCount val="1"/>
                <c:pt idx="0">
                  <c:v>Value (visible)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'NRR Waterfall'!$A$17:$A$21</c:f>
              <c:strCache>
                <c:ptCount val="5"/>
                <c:pt idx="0">
                  <c:v>Starting</c:v>
                </c:pt>
                <c:pt idx="1">
                  <c:v>Expansion</c:v>
                </c:pt>
                <c:pt idx="2">
                  <c:v>Churn</c:v>
                </c:pt>
                <c:pt idx="3">
                  <c:v>Contraction</c:v>
                </c:pt>
                <c:pt idx="4">
                  <c:v>Ending</c:v>
                </c:pt>
              </c:strCache>
            </c:strRef>
          </c:cat>
          <c:val>
            <c:numRef>
              <c:f>'NRR Waterfall'!$C$17:$C$21</c:f>
              <c:numCache>
                <c:formatCode>\$#,##0.00</c:formatCode>
                <c:ptCount val="5"/>
                <c:pt idx="0">
                  <c:v>3.15</c:v>
                </c:pt>
                <c:pt idx="1">
                  <c:v>1</c:v>
                </c:pt>
                <c:pt idx="2">
                  <c:v>0.3</c:v>
                </c:pt>
                <c:pt idx="3">
                  <c:v>0.13</c:v>
                </c:pt>
                <c:pt idx="4">
                  <c:v>3.72</c:v>
                </c:pt>
              </c:numCache>
            </c:numRef>
          </c:val>
        </c:ser>
        <c:gapWidth val="150"/>
        <c:overlap val="100"/>
        <c:axId val="3441047"/>
        <c:axId val="16763787"/>
      </c:barChart>
      <c:catAx>
        <c:axId val="3441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763787"/>
        <c:crosses val="autoZero"/>
        <c:auto val="1"/>
        <c:lblAlgn val="ctr"/>
        <c:lblOffset val="100"/>
        <c:noMultiLvlLbl val="0"/>
      </c:catAx>
      <c:valAx>
        <c:axId val="167637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ARR ($M)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410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LTV vs CAC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"Channels"</c:f>
              <c:strCache>
                <c:ptCount val="1"/>
                <c:pt idx="0">
                  <c:v>Channels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'LTVCAC by Channel'!$B$5:$B$10</c:f>
              <c:numCache>
                <c:formatCode>\$#,##0</c:formatCode>
                <c:ptCount val="6"/>
                <c:pt idx="0">
                  <c:v>2100</c:v>
                </c:pt>
                <c:pt idx="1">
                  <c:v>2800</c:v>
                </c:pt>
                <c:pt idx="2">
                  <c:v>5200</c:v>
                </c:pt>
                <c:pt idx="3">
                  <c:v>6800</c:v>
                </c:pt>
                <c:pt idx="4">
                  <c:v>1000</c:v>
                </c:pt>
                <c:pt idx="5">
                  <c:v>1300</c:v>
                </c:pt>
              </c:numCache>
            </c:numRef>
          </c:xVal>
          <c:yVal>
            <c:numRef>
              <c:f>'LTVCAC by Channel'!$C$5:$C$10</c:f>
              <c:numCache>
                <c:formatCode>\$#,##0</c:formatCode>
                <c:ptCount val="6"/>
                <c:pt idx="0">
                  <c:v>9500</c:v>
                </c:pt>
                <c:pt idx="1">
                  <c:v>9200</c:v>
                </c:pt>
                <c:pt idx="2">
                  <c:v>11500</c:v>
                </c:pt>
                <c:pt idx="3">
                  <c:v>12200</c:v>
                </c:pt>
                <c:pt idx="4">
                  <c:v>4600</c:v>
                </c:pt>
                <c:pt idx="5">
                  <c:v>4500</c:v>
                </c:pt>
              </c:numCache>
            </c:numRef>
          </c:yVal>
          <c:smooth val="1"/>
        </c:ser>
        <c:axId val="70219861"/>
        <c:axId val="60879557"/>
      </c:scatterChart>
      <c:valAx>
        <c:axId val="7021986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CAC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879557"/>
        <c:crosses val="autoZero"/>
        <c:crossBetween val="midCat"/>
      </c:valAx>
      <c:valAx>
        <c:axId val="608795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LTV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21986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gross profit vs months since acquisition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'CAC Payback'!B15</c:f>
              <c:strCache>
                <c:ptCount val="1"/>
                <c:pt idx="0">
                  <c:v>Cumulative gross profit ($)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'CAC Payback'!$A$16:$A$52</c:f>
              <c:strCach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strCache>
            </c:strRef>
          </c:cat>
          <c:val>
            <c:numRef>
              <c:f>'CAC Payback'!$B$16:$B$52</c:f>
              <c:numCache>
                <c:formatCode>\$#,##0</c:formatCode>
                <c:ptCount val="37"/>
                <c:pt idx="0">
                  <c:v>-9900</c:v>
                </c:pt>
                <c:pt idx="1">
                  <c:v>-9000</c:v>
                </c:pt>
                <c:pt idx="2">
                  <c:v>-8100</c:v>
                </c:pt>
                <c:pt idx="3">
                  <c:v>-7200</c:v>
                </c:pt>
                <c:pt idx="4">
                  <c:v>-6300</c:v>
                </c:pt>
                <c:pt idx="5">
                  <c:v>-5400</c:v>
                </c:pt>
                <c:pt idx="6">
                  <c:v>-4500</c:v>
                </c:pt>
                <c:pt idx="7">
                  <c:v>-3600</c:v>
                </c:pt>
                <c:pt idx="8">
                  <c:v>-2700</c:v>
                </c:pt>
                <c:pt idx="9">
                  <c:v>-1800</c:v>
                </c:pt>
                <c:pt idx="10">
                  <c:v>-900</c:v>
                </c:pt>
                <c:pt idx="11">
                  <c:v>0</c:v>
                </c:pt>
                <c:pt idx="12">
                  <c:v>900</c:v>
                </c:pt>
                <c:pt idx="13">
                  <c:v>1800</c:v>
                </c:pt>
                <c:pt idx="14">
                  <c:v>2700</c:v>
                </c:pt>
                <c:pt idx="15">
                  <c:v>3600</c:v>
                </c:pt>
                <c:pt idx="16">
                  <c:v>4500</c:v>
                </c:pt>
                <c:pt idx="17">
                  <c:v>5400</c:v>
                </c:pt>
                <c:pt idx="18">
                  <c:v>6300</c:v>
                </c:pt>
                <c:pt idx="19">
                  <c:v>7200</c:v>
                </c:pt>
                <c:pt idx="20">
                  <c:v>8100</c:v>
                </c:pt>
                <c:pt idx="21">
                  <c:v>9000</c:v>
                </c:pt>
                <c:pt idx="22">
                  <c:v>9900</c:v>
                </c:pt>
                <c:pt idx="23">
                  <c:v>10800</c:v>
                </c:pt>
                <c:pt idx="24">
                  <c:v>11700</c:v>
                </c:pt>
                <c:pt idx="25">
                  <c:v>12600</c:v>
                </c:pt>
                <c:pt idx="26">
                  <c:v>13500</c:v>
                </c:pt>
                <c:pt idx="27">
                  <c:v>14400</c:v>
                </c:pt>
                <c:pt idx="28">
                  <c:v>15300</c:v>
                </c:pt>
                <c:pt idx="29">
                  <c:v>16200</c:v>
                </c:pt>
                <c:pt idx="30">
                  <c:v>17100</c:v>
                </c:pt>
                <c:pt idx="31">
                  <c:v>18000</c:v>
                </c:pt>
                <c:pt idx="32">
                  <c:v>18900</c:v>
                </c:pt>
                <c:pt idx="33">
                  <c:v>19800</c:v>
                </c:pt>
                <c:pt idx="34">
                  <c:v>20700</c:v>
                </c:pt>
                <c:pt idx="35">
                  <c:v>21600</c:v>
                </c:pt>
                <c:pt idx="36">
                  <c:v>22500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7304977"/>
        <c:axId val="62854979"/>
      </c:lineChart>
      <c:catAx>
        <c:axId val="773049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Months since acquisition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854979"/>
        <c:crosses val="autoZero"/>
        <c:auto val="1"/>
        <c:lblAlgn val="ctr"/>
        <c:lblOffset val="100"/>
        <c:noMultiLvlLbl val="0"/>
      </c:catAx>
      <c:valAx>
        <c:axId val="628549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Cumulative gross profit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3049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101160</xdr:rowOff>
    </xdr:from>
    <xdr:to>
      <xdr:col>3</xdr:col>
      <xdr:colOff>967680</xdr:colOff>
      <xdr:row>29</xdr:row>
      <xdr:rowOff>123120</xdr:rowOff>
    </xdr:to>
    <xdr:graphicFrame>
      <xdr:nvGraphicFramePr>
        <xdr:cNvPr id="0" name="Chart 1"/>
        <xdr:cNvGraphicFramePr/>
      </xdr:nvGraphicFramePr>
      <xdr:xfrm>
        <a:off x="0" y="2857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101160</xdr:rowOff>
    </xdr:from>
    <xdr:to>
      <xdr:col>4</xdr:col>
      <xdr:colOff>790200</xdr:colOff>
      <xdr:row>38</xdr:row>
      <xdr:rowOff>102240</xdr:rowOff>
    </xdr:to>
    <xdr:graphicFrame>
      <xdr:nvGraphicFramePr>
        <xdr:cNvPr id="1" name="Chart 1"/>
        <xdr:cNvGraphicFramePr/>
      </xdr:nvGraphicFramePr>
      <xdr:xfrm>
        <a:off x="0" y="41911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131040</xdr:rowOff>
    </xdr:from>
    <xdr:to>
      <xdr:col>5</xdr:col>
      <xdr:colOff>247680</xdr:colOff>
      <xdr:row>31</xdr:row>
      <xdr:rowOff>132120</xdr:rowOff>
    </xdr:to>
    <xdr:graphicFrame>
      <xdr:nvGraphicFramePr>
        <xdr:cNvPr id="2" name="Chart 1"/>
        <xdr:cNvGraphicFramePr/>
      </xdr:nvGraphicFramePr>
      <xdr:xfrm>
        <a:off x="0" y="2857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131040</xdr:rowOff>
    </xdr:from>
    <xdr:to>
      <xdr:col>7</xdr:col>
      <xdr:colOff>703800</xdr:colOff>
      <xdr:row>18</xdr:row>
      <xdr:rowOff>142200</xdr:rowOff>
    </xdr:to>
    <xdr:graphicFrame>
      <xdr:nvGraphicFramePr>
        <xdr:cNvPr id="3" name="Chart 1"/>
        <xdr:cNvGraphicFramePr/>
      </xdr:nvGraphicFramePr>
      <xdr:xfrm>
        <a:off x="3733920" y="5716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4" min="4" style="0" width="20"/>
    <col collapsed="false" customWidth="true" hidden="false" outlineLevel="0" max="5" min="5" style="0" width="6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30" hidden="false" customHeight="true" outlineLevel="0" collapsed="false">
      <c r="A5" s="4" t="s">
        <v>7</v>
      </c>
      <c r="B5" s="5" t="n">
        <f aca="false">'Magic Number'!B10</f>
        <v>0.918032786885246</v>
      </c>
      <c r="C5" s="6" t="str">
        <f aca="false">'Magic Number'!B11</f>
        <v>EFFICIENT</v>
      </c>
      <c r="D5" s="7" t="s">
        <v>8</v>
      </c>
      <c r="E5" s="8" t="s">
        <v>9</v>
      </c>
    </row>
    <row r="6" customFormat="false" ht="30" hidden="false" customHeight="true" outlineLevel="0" collapsed="false">
      <c r="A6" s="4" t="s">
        <v>10</v>
      </c>
      <c r="B6" s="9" t="n">
        <f aca="false">'Rule of 40'!B13</f>
        <v>0.47</v>
      </c>
      <c r="C6" s="6" t="str">
        <f aca="false">'Rule of 40'!B14</f>
        <v>TARGET MET</v>
      </c>
      <c r="D6" s="7" t="s">
        <v>8</v>
      </c>
      <c r="E6" s="8" t="s">
        <v>11</v>
      </c>
    </row>
    <row r="7" customFormat="false" ht="30" hidden="false" customHeight="true" outlineLevel="0" collapsed="false">
      <c r="A7" s="4" t="s">
        <v>12</v>
      </c>
      <c r="B7" s="10" t="n">
        <f aca="false">'NRR Waterfall'!B11</f>
        <v>1.18095238095238</v>
      </c>
      <c r="C7" s="6" t="str">
        <f aca="false">'NRR Waterfall'!B12</f>
        <v>STRONG</v>
      </c>
      <c r="D7" s="7" t="s">
        <v>13</v>
      </c>
      <c r="E7" s="8" t="s">
        <v>14</v>
      </c>
    </row>
    <row r="8" customFormat="false" ht="30" hidden="false" customHeight="true" outlineLevel="0" collapsed="false">
      <c r="A8" s="4" t="s">
        <v>15</v>
      </c>
      <c r="B8" s="11" t="str">
        <f aca="false">'LTVCAC by Channel'!B13&amp;" "&amp;TEXT('LTVCAC by Channel'!B14,"0.0")&amp;"x"</f>
        <v>Referral 4.6x</v>
      </c>
      <c r="C8" s="6" t="str">
        <f aca="false">IF('LTVCAC by Channel'!B14&lt;2,"KILL ZONE",IF('LTVCAC by Channel'!B14&lt;3,"BREAKEVEN","SCALE"))</f>
        <v>SCALE</v>
      </c>
      <c r="D8" s="7" t="s">
        <v>16</v>
      </c>
      <c r="E8" s="8" t="s">
        <v>17</v>
      </c>
    </row>
    <row r="9" customFormat="false" ht="30" hidden="false" customHeight="true" outlineLevel="0" collapsed="false">
      <c r="A9" s="4" t="s">
        <v>18</v>
      </c>
      <c r="B9" s="12" t="n">
        <f aca="false">'CAC Payback'!B10</f>
        <v>11</v>
      </c>
      <c r="C9" s="6" t="str">
        <f aca="false">'CAC Payback'!B11</f>
        <v>EXCELLENT</v>
      </c>
      <c r="D9" s="7" t="s">
        <v>19</v>
      </c>
      <c r="E9" s="8" t="s">
        <v>20</v>
      </c>
    </row>
    <row r="12" customFormat="false" ht="15" hidden="false" customHeight="false" outlineLevel="0" collapsed="false">
      <c r="A12" s="13" t="s">
        <v>21</v>
      </c>
    </row>
    <row r="13" customFormat="false" ht="24" hidden="false" customHeight="true" outlineLevel="0" collapsed="false">
      <c r="A13" s="14" t="s">
        <v>22</v>
      </c>
      <c r="B13" s="14"/>
      <c r="C13" s="14"/>
      <c r="D13" s="14"/>
      <c r="E13" s="14"/>
    </row>
    <row r="14" customFormat="false" ht="24" hidden="false" customHeight="true" outlineLevel="0" collapsed="false">
      <c r="A14" s="14" t="s">
        <v>23</v>
      </c>
      <c r="B14" s="14"/>
      <c r="C14" s="14"/>
      <c r="D14" s="14"/>
      <c r="E14" s="14"/>
    </row>
    <row r="15" customFormat="false" ht="24" hidden="false" customHeight="true" outlineLevel="0" collapsed="false">
      <c r="A15" s="14" t="s">
        <v>24</v>
      </c>
      <c r="B15" s="14"/>
      <c r="C15" s="14"/>
      <c r="D15" s="14"/>
      <c r="E15" s="14"/>
    </row>
    <row r="16" customFormat="false" ht="24" hidden="false" customHeight="true" outlineLevel="0" collapsed="false">
      <c r="A16" s="14" t="s">
        <v>25</v>
      </c>
      <c r="B16" s="14"/>
      <c r="C16" s="14"/>
      <c r="D16" s="14"/>
      <c r="E16" s="14"/>
    </row>
  </sheetData>
  <mergeCells count="4">
    <mergeCell ref="A13:E13"/>
    <mergeCell ref="A14:E14"/>
    <mergeCell ref="A15:E15"/>
    <mergeCell ref="A16:E16"/>
  </mergeCells>
  <conditionalFormatting sqref="C5:C9">
    <cfRule type="cellIs" priority="2" operator="equal" aboveAverage="0" equalAverage="0" bottom="0" percent="0" rank="0" text="" dxfId="0">
      <formula>"BROKEN"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40"/>
  </cols>
  <sheetData>
    <row r="1" customFormat="false" ht="19.7" hidden="false" customHeight="false" outlineLevel="0" collapsed="false">
      <c r="A1" s="1" t="s">
        <v>7</v>
      </c>
    </row>
    <row r="2" customFormat="false" ht="15" hidden="false" customHeight="false" outlineLevel="0" collapsed="false">
      <c r="A2" s="2" t="s">
        <v>26</v>
      </c>
    </row>
    <row r="4" customFormat="false" ht="15" hidden="false" customHeight="false" outlineLevel="0" collapsed="false">
      <c r="A4" s="13" t="s">
        <v>27</v>
      </c>
    </row>
    <row r="5" customFormat="false" ht="15" hidden="false" customHeight="false" outlineLevel="0" collapsed="false">
      <c r="A5" s="15" t="s">
        <v>28</v>
      </c>
      <c r="B5" s="16" t="n">
        <v>1.68</v>
      </c>
    </row>
    <row r="6" customFormat="false" ht="15" hidden="false" customHeight="false" outlineLevel="0" collapsed="false">
      <c r="A6" s="15" t="s">
        <v>29</v>
      </c>
      <c r="B6" s="16" t="n">
        <v>1.83</v>
      </c>
    </row>
    <row r="9" customFormat="false" ht="15" hidden="false" customHeight="false" outlineLevel="0" collapsed="false">
      <c r="A9" s="13" t="s">
        <v>30</v>
      </c>
    </row>
    <row r="10" customFormat="false" ht="17.35" hidden="false" customHeight="false" outlineLevel="0" collapsed="false">
      <c r="A10" s="13" t="s">
        <v>7</v>
      </c>
      <c r="B10" s="17" t="n">
        <f aca="false">IF(B6=0,0,B5/B6)</f>
        <v>0.918032786885246</v>
      </c>
    </row>
    <row r="11" customFormat="false" ht="15" hidden="false" customHeight="false" outlineLevel="0" collapsed="false">
      <c r="A11" s="15" t="s">
        <v>4</v>
      </c>
      <c r="B11" s="4" t="str">
        <f aca="false">IF(B10&lt;0.5,"BROKEN",IF(B10&lt;0.75,"FAIR","EFFICIENT"))</f>
        <v>EFFICIENT</v>
      </c>
    </row>
    <row r="13" customFormat="false" ht="15" hidden="false" customHeight="false" outlineLevel="0" collapsed="false">
      <c r="A13" s="13" t="s">
        <v>31</v>
      </c>
    </row>
    <row r="14" customFormat="false" ht="15" hidden="false" customHeight="false" outlineLevel="0" collapsed="false">
      <c r="A14" s="3" t="s">
        <v>4</v>
      </c>
      <c r="B14" s="3" t="s">
        <v>32</v>
      </c>
      <c r="C14" s="3" t="s">
        <v>33</v>
      </c>
    </row>
    <row r="15" customFormat="false" ht="25.5" hidden="false" customHeight="true" outlineLevel="0" collapsed="false">
      <c r="A15" s="18" t="s">
        <v>34</v>
      </c>
      <c r="B15" s="19" t="s">
        <v>35</v>
      </c>
      <c r="C15" s="19" t="s">
        <v>36</v>
      </c>
    </row>
    <row r="16" customFormat="false" ht="25.5" hidden="false" customHeight="true" outlineLevel="0" collapsed="false">
      <c r="A16" s="20" t="s">
        <v>37</v>
      </c>
      <c r="B16" s="19" t="s">
        <v>38</v>
      </c>
      <c r="C16" s="19" t="s">
        <v>39</v>
      </c>
    </row>
    <row r="17" customFormat="false" ht="25.5" hidden="false" customHeight="true" outlineLevel="0" collapsed="false">
      <c r="A17" s="21" t="s">
        <v>40</v>
      </c>
      <c r="B17" s="19" t="s">
        <v>41</v>
      </c>
      <c r="C17" s="19" t="s">
        <v>42</v>
      </c>
    </row>
    <row r="20" customFormat="false" ht="15" hidden="false" customHeight="false" outlineLevel="0" collapsed="false">
      <c r="A20" s="22" t="s">
        <v>43</v>
      </c>
      <c r="B20" s="22"/>
      <c r="C20" s="22"/>
      <c r="D20" s="22"/>
    </row>
  </sheetData>
  <mergeCells count="1">
    <mergeCell ref="A20:D20"/>
  </mergeCells>
  <conditionalFormatting sqref="B11">
    <cfRule type="cellIs" priority="2" operator="equal" aboveAverage="0" equalAverage="0" bottom="0" percent="0" rank="0" text="" dxfId="0">
      <formula>"BROKEN"</formula>
    </cfRule>
    <cfRule type="cellIs" priority="3" operator="equal" aboveAverage="0" equalAverage="0" bottom="0" percent="0" rank="0" text="" dxfId="1">
      <formula>"FAIR"</formula>
    </cfRule>
    <cfRule type="cellIs" priority="4" operator="equal" aboveAverage="0" equalAverage="0" bottom="0" percent="0" rank="0" text="" dxfId="2">
      <formula>"EFFICIENT"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5" min="5" style="0" width="4"/>
    <col collapsed="false" customWidth="true" hidden="false" outlineLevel="0" max="6" min="6" style="0" width="20"/>
    <col collapsed="false" customWidth="true" hidden="false" outlineLevel="0" max="7" min="7" style="0" width="40"/>
  </cols>
  <sheetData>
    <row r="1" customFormat="false" ht="19.7" hidden="false" customHeight="false" outlineLevel="0" collapsed="false">
      <c r="A1" s="1" t="s">
        <v>10</v>
      </c>
    </row>
    <row r="2" customFormat="false" ht="15" hidden="false" customHeight="false" outlineLevel="0" collapsed="false">
      <c r="A2" s="2" t="s">
        <v>44</v>
      </c>
    </row>
    <row r="4" customFormat="false" ht="15" hidden="false" customHeight="false" outlineLevel="0" collapsed="false">
      <c r="A4" s="3" t="s">
        <v>45</v>
      </c>
      <c r="B4" s="3" t="s">
        <v>46</v>
      </c>
      <c r="C4" s="3" t="s">
        <v>47</v>
      </c>
      <c r="D4" s="3" t="s">
        <v>48</v>
      </c>
    </row>
    <row r="5" customFormat="false" ht="15" hidden="false" customHeight="false" outlineLevel="0" collapsed="false">
      <c r="A5" s="11" t="s">
        <v>49</v>
      </c>
      <c r="B5" s="23" t="n">
        <v>0.31</v>
      </c>
      <c r="C5" s="23" t="n">
        <v>-0.02</v>
      </c>
      <c r="D5" s="9" t="n">
        <f aca="false">B5+C5</f>
        <v>0.29</v>
      </c>
    </row>
    <row r="6" customFormat="false" ht="15" hidden="false" customHeight="false" outlineLevel="0" collapsed="false">
      <c r="A6" s="11" t="s">
        <v>50</v>
      </c>
      <c r="B6" s="23" t="n">
        <v>0.33</v>
      </c>
      <c r="C6" s="23" t="n">
        <v>-0.02</v>
      </c>
      <c r="D6" s="9" t="n">
        <f aca="false">B6+C6</f>
        <v>0.31</v>
      </c>
    </row>
    <row r="7" customFormat="false" ht="15" hidden="false" customHeight="false" outlineLevel="0" collapsed="false">
      <c r="A7" s="11" t="s">
        <v>51</v>
      </c>
      <c r="B7" s="23" t="n">
        <v>0.34</v>
      </c>
      <c r="C7" s="23" t="n">
        <v>-0.01</v>
      </c>
      <c r="D7" s="9" t="n">
        <f aca="false">B7+C7</f>
        <v>0.33</v>
      </c>
    </row>
    <row r="8" customFormat="false" ht="15" hidden="false" customHeight="false" outlineLevel="0" collapsed="false">
      <c r="A8" s="11" t="s">
        <v>52</v>
      </c>
      <c r="B8" s="23" t="n">
        <v>0.39</v>
      </c>
      <c r="C8" s="23" t="n">
        <v>0.005</v>
      </c>
      <c r="D8" s="9" t="n">
        <f aca="false">B8+C8</f>
        <v>0.395</v>
      </c>
    </row>
    <row r="9" customFormat="false" ht="15" hidden="false" customHeight="false" outlineLevel="0" collapsed="false">
      <c r="A9" s="11" t="s">
        <v>53</v>
      </c>
      <c r="B9" s="23" t="n">
        <v>0.44</v>
      </c>
      <c r="C9" s="23" t="n">
        <v>0.015</v>
      </c>
      <c r="D9" s="9" t="n">
        <f aca="false">B9+C9</f>
        <v>0.455</v>
      </c>
    </row>
    <row r="10" customFormat="false" ht="15" hidden="false" customHeight="false" outlineLevel="0" collapsed="false">
      <c r="A10" s="4" t="s">
        <v>54</v>
      </c>
      <c r="B10" s="23" t="n">
        <v>0.44</v>
      </c>
      <c r="C10" s="23" t="n">
        <v>0.03</v>
      </c>
      <c r="D10" s="24" t="n">
        <f aca="false">B10+C10</f>
        <v>0.47</v>
      </c>
    </row>
    <row r="12" customFormat="false" ht="15" hidden="false" customHeight="false" outlineLevel="0" collapsed="false">
      <c r="A12" s="13" t="s">
        <v>30</v>
      </c>
    </row>
    <row r="13" customFormat="false" ht="17.35" hidden="false" customHeight="false" outlineLevel="0" collapsed="false">
      <c r="A13" s="13" t="s">
        <v>55</v>
      </c>
      <c r="B13" s="25" t="n">
        <f aca="false">D10</f>
        <v>0.47</v>
      </c>
    </row>
    <row r="14" customFormat="false" ht="15" hidden="false" customHeight="false" outlineLevel="0" collapsed="false">
      <c r="A14" s="15" t="s">
        <v>4</v>
      </c>
      <c r="B14" s="4" t="str">
        <f aca="false">IF(B13&gt;=0.4,"TARGET MET","BELOW TARGET")</f>
        <v>TARGET MET</v>
      </c>
    </row>
  </sheetData>
  <conditionalFormatting sqref="B14">
    <cfRule type="cellIs" priority="2" operator="equal" aboveAverage="0" equalAverage="0" bottom="0" percent="0" rank="0" text="" dxfId="2">
      <formula>"TARGET MET"</formula>
    </cfRule>
    <cfRule type="cellIs" priority="3" operator="equal" aboveAverage="0" equalAverage="0" bottom="0" percent="0" rank="0" text="" dxfId="0">
      <formula>"BELOW TARGET"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4"/>
    <col collapsed="false" customWidth="true" hidden="false" outlineLevel="0" max="6" min="6" style="0" width="40"/>
  </cols>
  <sheetData>
    <row r="1" customFormat="false" ht="19.7" hidden="false" customHeight="false" outlineLevel="0" collapsed="false">
      <c r="A1" s="1" t="s">
        <v>12</v>
      </c>
    </row>
    <row r="2" customFormat="false" ht="15" hidden="false" customHeight="false" outlineLevel="0" collapsed="false">
      <c r="A2" s="2" t="s">
        <v>56</v>
      </c>
    </row>
    <row r="4" customFormat="false" ht="15" hidden="false" customHeight="false" outlineLevel="0" collapsed="false">
      <c r="A4" s="13" t="s">
        <v>57</v>
      </c>
    </row>
    <row r="5" customFormat="false" ht="15" hidden="false" customHeight="false" outlineLevel="0" collapsed="false">
      <c r="A5" s="15" t="s">
        <v>58</v>
      </c>
      <c r="B5" s="16" t="n">
        <v>3.15</v>
      </c>
    </row>
    <row r="6" customFormat="false" ht="15" hidden="false" customHeight="false" outlineLevel="0" collapsed="false">
      <c r="A6" s="15" t="s">
        <v>59</v>
      </c>
      <c r="B6" s="16" t="n">
        <v>1</v>
      </c>
    </row>
    <row r="7" customFormat="false" ht="15" hidden="false" customHeight="false" outlineLevel="0" collapsed="false">
      <c r="A7" s="15" t="s">
        <v>60</v>
      </c>
      <c r="B7" s="16" t="n">
        <v>0.3</v>
      </c>
    </row>
    <row r="8" customFormat="false" ht="15" hidden="false" customHeight="false" outlineLevel="0" collapsed="false">
      <c r="A8" s="15" t="s">
        <v>61</v>
      </c>
      <c r="B8" s="16" t="n">
        <v>0.13</v>
      </c>
    </row>
    <row r="10" customFormat="false" ht="15" hidden="false" customHeight="false" outlineLevel="0" collapsed="false">
      <c r="A10" s="13" t="s">
        <v>30</v>
      </c>
    </row>
    <row r="11" customFormat="false" ht="17.35" hidden="false" customHeight="false" outlineLevel="0" collapsed="false">
      <c r="A11" s="13" t="s">
        <v>62</v>
      </c>
      <c r="B11" s="26" t="n">
        <f aca="false">IF(B5=0,0,(B5+B6-B7-B8)/B5)</f>
        <v>1.18095238095238</v>
      </c>
    </row>
    <row r="12" customFormat="false" ht="15" hidden="false" customHeight="false" outlineLevel="0" collapsed="false">
      <c r="A12" s="15" t="s">
        <v>4</v>
      </c>
      <c r="B12" s="4" t="str">
        <f aca="false">IF(B11&lt;1,"SHRINKING",IF(B11&lt;1.1,"HEALTHY",IF(B11&lt;1.2,"STRONG","BEST-IN-CLASS")))</f>
        <v>STRONG</v>
      </c>
    </row>
    <row r="15" customFormat="false" ht="15" hidden="false" customHeight="false" outlineLevel="0" collapsed="false">
      <c r="A15" s="27" t="s">
        <v>63</v>
      </c>
    </row>
    <row r="16" customFormat="false" ht="15" hidden="false" customHeight="false" outlineLevel="0" collapsed="false">
      <c r="A16" s="3" t="s">
        <v>64</v>
      </c>
      <c r="B16" s="3" t="s">
        <v>65</v>
      </c>
      <c r="C16" s="3" t="s">
        <v>66</v>
      </c>
      <c r="D16" s="3" t="s">
        <v>67</v>
      </c>
    </row>
    <row r="17" customFormat="false" ht="15" hidden="false" customHeight="false" outlineLevel="0" collapsed="false">
      <c r="A17" s="11" t="s">
        <v>68</v>
      </c>
      <c r="B17" s="28" t="n">
        <v>0</v>
      </c>
      <c r="C17" s="28" t="n">
        <f aca="false">B5</f>
        <v>3.15</v>
      </c>
      <c r="D17" s="28" t="n">
        <f aca="false">C17</f>
        <v>3.15</v>
      </c>
    </row>
    <row r="18" customFormat="false" ht="15" hidden="false" customHeight="false" outlineLevel="0" collapsed="false">
      <c r="A18" s="11" t="s">
        <v>59</v>
      </c>
      <c r="B18" s="28" t="n">
        <f aca="false">B5</f>
        <v>3.15</v>
      </c>
      <c r="C18" s="28" t="n">
        <f aca="false">B6</f>
        <v>1</v>
      </c>
      <c r="D18" s="28" t="n">
        <f aca="false">D17+C18</f>
        <v>4.15</v>
      </c>
    </row>
    <row r="19" customFormat="false" ht="15" hidden="false" customHeight="false" outlineLevel="0" collapsed="false">
      <c r="A19" s="11" t="s">
        <v>60</v>
      </c>
      <c r="B19" s="28" t="n">
        <f aca="false">B5+B6-B7</f>
        <v>3.85</v>
      </c>
      <c r="C19" s="28" t="n">
        <f aca="false">B7</f>
        <v>0.3</v>
      </c>
      <c r="D19" s="28" t="n">
        <f aca="false">D18-C19</f>
        <v>3.85</v>
      </c>
    </row>
    <row r="20" customFormat="false" ht="15" hidden="false" customHeight="false" outlineLevel="0" collapsed="false">
      <c r="A20" s="11" t="s">
        <v>61</v>
      </c>
      <c r="B20" s="28" t="n">
        <f aca="false">B5+B6-B7-B8</f>
        <v>3.72</v>
      </c>
      <c r="C20" s="28" t="n">
        <f aca="false">B8</f>
        <v>0.13</v>
      </c>
      <c r="D20" s="28" t="n">
        <f aca="false">D19-C20</f>
        <v>3.72</v>
      </c>
    </row>
    <row r="21" customFormat="false" ht="15" hidden="false" customHeight="false" outlineLevel="0" collapsed="false">
      <c r="A21" s="11" t="s">
        <v>69</v>
      </c>
      <c r="B21" s="28" t="n">
        <v>0</v>
      </c>
      <c r="C21" s="28" t="n">
        <f aca="false">B5+B6-B7-B8</f>
        <v>3.72</v>
      </c>
      <c r="D21" s="29" t="n">
        <f aca="false">D20</f>
        <v>3.72</v>
      </c>
    </row>
  </sheetData>
  <conditionalFormatting sqref="B12">
    <cfRule type="cellIs" priority="2" operator="equal" aboveAverage="0" equalAverage="0" bottom="0" percent="0" rank="0" text="" dxfId="0">
      <formula>"SHRINKING"</formula>
    </cfRule>
    <cfRule type="cellIs" priority="3" operator="equal" aboveAverage="0" equalAverage="0" bottom="0" percent="0" rank="0" text="" dxfId="1">
      <formula>"HEALTHY"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6" min="5" style="0" width="4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9.7" hidden="false" customHeight="false" outlineLevel="0" collapsed="false">
      <c r="A1" s="1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A4" s="3" t="s">
        <v>72</v>
      </c>
      <c r="B4" s="3" t="s">
        <v>73</v>
      </c>
      <c r="C4" s="3" t="s">
        <v>74</v>
      </c>
      <c r="D4" s="3" t="s">
        <v>75</v>
      </c>
      <c r="E4" s="3"/>
      <c r="F4" s="3"/>
      <c r="G4" s="3"/>
      <c r="H4" s="3" t="s">
        <v>4</v>
      </c>
    </row>
    <row r="5" customFormat="false" ht="15" hidden="false" customHeight="false" outlineLevel="0" collapsed="false">
      <c r="A5" s="11" t="s">
        <v>76</v>
      </c>
      <c r="B5" s="30" t="n">
        <v>2100</v>
      </c>
      <c r="C5" s="30" t="n">
        <v>9500</v>
      </c>
      <c r="D5" s="31" t="n">
        <f aca="false">IF(B5=0,0,C5/B5)</f>
        <v>4.52380952380952</v>
      </c>
      <c r="H5" s="11" t="str">
        <f aca="false">IF(D5&lt;2,"KILL ZONE",IF(D5&lt;3,"BREAKEVEN","SCALE"))</f>
        <v>SCALE</v>
      </c>
    </row>
    <row r="6" customFormat="false" ht="15" hidden="false" customHeight="false" outlineLevel="0" collapsed="false">
      <c r="A6" s="11" t="s">
        <v>77</v>
      </c>
      <c r="B6" s="30" t="n">
        <v>2800</v>
      </c>
      <c r="C6" s="30" t="n">
        <v>9200</v>
      </c>
      <c r="D6" s="31" t="n">
        <f aca="false">IF(B6=0,0,C6/B6)</f>
        <v>3.28571428571429</v>
      </c>
      <c r="H6" s="11" t="str">
        <f aca="false">IF(D6&lt;2,"KILL ZONE",IF(D6&lt;3,"BREAKEVEN","SCALE"))</f>
        <v>SCALE</v>
      </c>
    </row>
    <row r="7" customFormat="false" ht="15" hidden="false" customHeight="false" outlineLevel="0" collapsed="false">
      <c r="A7" s="11" t="s">
        <v>78</v>
      </c>
      <c r="B7" s="30" t="n">
        <v>5200</v>
      </c>
      <c r="C7" s="30" t="n">
        <v>11500</v>
      </c>
      <c r="D7" s="31" t="n">
        <f aca="false">IF(B7=0,0,C7/B7)</f>
        <v>2.21153846153846</v>
      </c>
      <c r="H7" s="11" t="str">
        <f aca="false">IF(D7&lt;2,"KILL ZONE",IF(D7&lt;3,"BREAKEVEN","SCALE"))</f>
        <v>BREAKEVEN</v>
      </c>
    </row>
    <row r="8" customFormat="false" ht="15" hidden="false" customHeight="false" outlineLevel="0" collapsed="false">
      <c r="A8" s="11" t="s">
        <v>79</v>
      </c>
      <c r="B8" s="30" t="n">
        <v>6800</v>
      </c>
      <c r="C8" s="30" t="n">
        <v>12200</v>
      </c>
      <c r="D8" s="31" t="n">
        <f aca="false">IF(B8=0,0,C8/B8)</f>
        <v>1.79411764705882</v>
      </c>
      <c r="H8" s="11" t="str">
        <f aca="false">IF(D8&lt;2,"KILL ZONE",IF(D8&lt;3,"BREAKEVEN","SCALE"))</f>
        <v>KILL ZONE</v>
      </c>
    </row>
    <row r="9" customFormat="false" ht="15" hidden="false" customHeight="false" outlineLevel="0" collapsed="false">
      <c r="A9" s="11" t="s">
        <v>80</v>
      </c>
      <c r="B9" s="30" t="n">
        <v>1000</v>
      </c>
      <c r="C9" s="30" t="n">
        <v>4600</v>
      </c>
      <c r="D9" s="31" t="n">
        <f aca="false">IF(B9=0,0,C9/B9)</f>
        <v>4.6</v>
      </c>
      <c r="H9" s="11" t="str">
        <f aca="false">IF(D9&lt;2,"KILL ZONE",IF(D9&lt;3,"BREAKEVEN","SCALE"))</f>
        <v>SCALE</v>
      </c>
    </row>
    <row r="10" customFormat="false" ht="15" hidden="false" customHeight="false" outlineLevel="0" collapsed="false">
      <c r="A10" s="11" t="s">
        <v>81</v>
      </c>
      <c r="B10" s="30" t="n">
        <v>1300</v>
      </c>
      <c r="C10" s="30" t="n">
        <v>4500</v>
      </c>
      <c r="D10" s="31" t="n">
        <f aca="false">IF(B10=0,0,C10/B10)</f>
        <v>3.46153846153846</v>
      </c>
      <c r="H10" s="11" t="str">
        <f aca="false">IF(D10&lt;2,"KILL ZONE",IF(D10&lt;3,"BREAKEVEN","SCALE"))</f>
        <v>SCALE</v>
      </c>
    </row>
    <row r="12" customFormat="false" ht="15" hidden="false" customHeight="false" outlineLevel="0" collapsed="false">
      <c r="A12" s="13" t="s">
        <v>82</v>
      </c>
    </row>
    <row r="13" customFormat="false" ht="15" hidden="false" customHeight="false" outlineLevel="0" collapsed="false">
      <c r="A13" s="15" t="s">
        <v>72</v>
      </c>
      <c r="B13" s="4" t="str">
        <f aca="false">INDEX(A5:A10,MATCH(MAX(D5:D10),D5:D10,0))</f>
        <v>Referral</v>
      </c>
    </row>
    <row r="14" customFormat="false" ht="15" hidden="false" customHeight="false" outlineLevel="0" collapsed="false">
      <c r="A14" s="15" t="s">
        <v>75</v>
      </c>
      <c r="B14" s="32" t="n">
        <f aca="false">MAX(D5:D10)</f>
        <v>4.6</v>
      </c>
    </row>
  </sheetData>
  <conditionalFormatting sqref="H5:H10">
    <cfRule type="cellIs" priority="2" operator="equal" aboveAverage="0" equalAverage="0" bottom="0" percent="0" rank="0" text="" dxfId="0">
      <formula>"KILL ZONE"</formula>
    </cfRule>
    <cfRule type="cellIs" priority="3" operator="equal" aboveAverage="0" equalAverage="0" bottom="0" percent="0" rank="0" text="" dxfId="1">
      <formula>"BREAKEVEN"</formula>
    </cfRule>
    <cfRule type="cellIs" priority="4" operator="equal" aboveAverage="0" equalAverage="0" bottom="0" percent="0" rank="0" text="" dxfId="2">
      <formula>"SCALE"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4"/>
    <col collapsed="false" customWidth="true" hidden="false" outlineLevel="0" max="4" min="4" style="0" width="16"/>
    <col collapsed="false" customWidth="true" hidden="false" outlineLevel="0" max="5" min="5" style="0" width="40"/>
  </cols>
  <sheetData>
    <row r="1" customFormat="false" ht="19.7" hidden="false" customHeight="false" outlineLevel="0" collapsed="false">
      <c r="A1" s="1" t="s">
        <v>83</v>
      </c>
    </row>
    <row r="2" customFormat="false" ht="15" hidden="false" customHeight="false" outlineLevel="0" collapsed="false">
      <c r="A2" s="2" t="s">
        <v>84</v>
      </c>
    </row>
    <row r="4" customFormat="false" ht="15" hidden="false" customHeight="false" outlineLevel="0" collapsed="false">
      <c r="A4" s="13" t="s">
        <v>27</v>
      </c>
    </row>
    <row r="5" customFormat="false" ht="15" hidden="false" customHeight="false" outlineLevel="0" collapsed="false">
      <c r="A5" s="15" t="s">
        <v>73</v>
      </c>
      <c r="B5" s="30" t="n">
        <v>9900</v>
      </c>
    </row>
    <row r="6" customFormat="false" ht="15" hidden="false" customHeight="false" outlineLevel="0" collapsed="false">
      <c r="A6" s="15" t="s">
        <v>85</v>
      </c>
      <c r="B6" s="30" t="n">
        <v>1250</v>
      </c>
    </row>
    <row r="7" customFormat="false" ht="15" hidden="false" customHeight="false" outlineLevel="0" collapsed="false">
      <c r="A7" s="15" t="s">
        <v>86</v>
      </c>
      <c r="B7" s="33" t="n">
        <v>0.72</v>
      </c>
    </row>
    <row r="9" customFormat="false" ht="15" hidden="false" customHeight="false" outlineLevel="0" collapsed="false">
      <c r="A9" s="13" t="s">
        <v>30</v>
      </c>
    </row>
    <row r="10" customFormat="false" ht="17.35" hidden="false" customHeight="false" outlineLevel="0" collapsed="false">
      <c r="A10" s="13" t="s">
        <v>87</v>
      </c>
      <c r="B10" s="34" t="n">
        <f aca="false">IF(B6*B7=0,0,B5/(B6*B7))</f>
        <v>11</v>
      </c>
    </row>
    <row r="11" customFormat="false" ht="15" hidden="false" customHeight="false" outlineLevel="0" collapsed="false">
      <c r="A11" s="15" t="s">
        <v>4</v>
      </c>
      <c r="B11" s="4" t="str">
        <f aca="false">IF(B10&lt;=12,"EXCELLENT",IF(B10&lt;=18,"HEALTHY","SLOW"))</f>
        <v>EXCELLENT</v>
      </c>
    </row>
    <row r="12" customFormat="false" ht="15" hidden="false" customHeight="false" outlineLevel="0" collapsed="false">
      <c r="A12" s="15" t="s">
        <v>88</v>
      </c>
      <c r="B12" s="35" t="n">
        <f aca="false">B6*B7</f>
        <v>900</v>
      </c>
    </row>
    <row r="15" customFormat="false" ht="26.85" hidden="false" customHeight="false" outlineLevel="0" collapsed="false">
      <c r="A15" s="3" t="s">
        <v>89</v>
      </c>
      <c r="B15" s="3" t="s">
        <v>90</v>
      </c>
    </row>
    <row r="16" customFormat="false" ht="15" hidden="false" customHeight="false" outlineLevel="0" collapsed="false">
      <c r="A16" s="15" t="n">
        <v>0</v>
      </c>
      <c r="B16" s="36" t="n">
        <f aca="false">$B$12*A16-$B$5</f>
        <v>-9900</v>
      </c>
    </row>
    <row r="17" customFormat="false" ht="15" hidden="false" customHeight="false" outlineLevel="0" collapsed="false">
      <c r="A17" s="15" t="n">
        <v>1</v>
      </c>
      <c r="B17" s="36" t="n">
        <f aca="false">$B$12*A17-$B$5</f>
        <v>-9000</v>
      </c>
    </row>
    <row r="18" customFormat="false" ht="15" hidden="false" customHeight="false" outlineLevel="0" collapsed="false">
      <c r="A18" s="15" t="n">
        <v>2</v>
      </c>
      <c r="B18" s="36" t="n">
        <f aca="false">$B$12*A18-$B$5</f>
        <v>-8100</v>
      </c>
    </row>
    <row r="19" customFormat="false" ht="15" hidden="false" customHeight="false" outlineLevel="0" collapsed="false">
      <c r="A19" s="15" t="n">
        <v>3</v>
      </c>
      <c r="B19" s="36" t="n">
        <f aca="false">$B$12*A19-$B$5</f>
        <v>-7200</v>
      </c>
    </row>
    <row r="20" customFormat="false" ht="15" hidden="false" customHeight="false" outlineLevel="0" collapsed="false">
      <c r="A20" s="15" t="n">
        <v>4</v>
      </c>
      <c r="B20" s="36" t="n">
        <f aca="false">$B$12*A20-$B$5</f>
        <v>-6300</v>
      </c>
    </row>
    <row r="21" customFormat="false" ht="15" hidden="false" customHeight="false" outlineLevel="0" collapsed="false">
      <c r="A21" s="15" t="n">
        <v>5</v>
      </c>
      <c r="B21" s="36" t="n">
        <f aca="false">$B$12*A21-$B$5</f>
        <v>-5400</v>
      </c>
    </row>
    <row r="22" customFormat="false" ht="15" hidden="false" customHeight="false" outlineLevel="0" collapsed="false">
      <c r="A22" s="15" t="n">
        <v>6</v>
      </c>
      <c r="B22" s="36" t="n">
        <f aca="false">$B$12*A22-$B$5</f>
        <v>-4500</v>
      </c>
    </row>
    <row r="23" customFormat="false" ht="15" hidden="false" customHeight="false" outlineLevel="0" collapsed="false">
      <c r="A23" s="15" t="n">
        <v>7</v>
      </c>
      <c r="B23" s="36" t="n">
        <f aca="false">$B$12*A23-$B$5</f>
        <v>-3600</v>
      </c>
    </row>
    <row r="24" customFormat="false" ht="15" hidden="false" customHeight="false" outlineLevel="0" collapsed="false">
      <c r="A24" s="15" t="n">
        <v>8</v>
      </c>
      <c r="B24" s="36" t="n">
        <f aca="false">$B$12*A24-$B$5</f>
        <v>-2700</v>
      </c>
    </row>
    <row r="25" customFormat="false" ht="15" hidden="false" customHeight="false" outlineLevel="0" collapsed="false">
      <c r="A25" s="15" t="n">
        <v>9</v>
      </c>
      <c r="B25" s="36" t="n">
        <f aca="false">$B$12*A25-$B$5</f>
        <v>-1800</v>
      </c>
    </row>
    <row r="26" customFormat="false" ht="15" hidden="false" customHeight="false" outlineLevel="0" collapsed="false">
      <c r="A26" s="15" t="n">
        <v>10</v>
      </c>
      <c r="B26" s="36" t="n">
        <f aca="false">$B$12*A26-$B$5</f>
        <v>-900</v>
      </c>
    </row>
    <row r="27" customFormat="false" ht="15" hidden="false" customHeight="false" outlineLevel="0" collapsed="false">
      <c r="A27" s="15" t="n">
        <v>11</v>
      </c>
      <c r="B27" s="36" t="n">
        <f aca="false">$B$12*A27-$B$5</f>
        <v>0</v>
      </c>
    </row>
    <row r="28" customFormat="false" ht="15" hidden="false" customHeight="false" outlineLevel="0" collapsed="false">
      <c r="A28" s="15" t="n">
        <v>12</v>
      </c>
      <c r="B28" s="36" t="n">
        <f aca="false">$B$12*A28-$B$5</f>
        <v>900</v>
      </c>
    </row>
    <row r="29" customFormat="false" ht="15" hidden="false" customHeight="false" outlineLevel="0" collapsed="false">
      <c r="A29" s="15" t="n">
        <v>13</v>
      </c>
      <c r="B29" s="36" t="n">
        <f aca="false">$B$12*A29-$B$5</f>
        <v>1800</v>
      </c>
    </row>
    <row r="30" customFormat="false" ht="15" hidden="false" customHeight="false" outlineLevel="0" collapsed="false">
      <c r="A30" s="15" t="n">
        <v>14</v>
      </c>
      <c r="B30" s="36" t="n">
        <f aca="false">$B$12*A30-$B$5</f>
        <v>2700</v>
      </c>
    </row>
    <row r="31" customFormat="false" ht="15" hidden="false" customHeight="false" outlineLevel="0" collapsed="false">
      <c r="A31" s="15" t="n">
        <v>15</v>
      </c>
      <c r="B31" s="36" t="n">
        <f aca="false">$B$12*A31-$B$5</f>
        <v>3600</v>
      </c>
    </row>
    <row r="32" customFormat="false" ht="15" hidden="false" customHeight="false" outlineLevel="0" collapsed="false">
      <c r="A32" s="15" t="n">
        <v>16</v>
      </c>
      <c r="B32" s="36" t="n">
        <f aca="false">$B$12*A32-$B$5</f>
        <v>4500</v>
      </c>
    </row>
    <row r="33" customFormat="false" ht="15" hidden="false" customHeight="false" outlineLevel="0" collapsed="false">
      <c r="A33" s="15" t="n">
        <v>17</v>
      </c>
      <c r="B33" s="36" t="n">
        <f aca="false">$B$12*A33-$B$5</f>
        <v>5400</v>
      </c>
    </row>
    <row r="34" customFormat="false" ht="15" hidden="false" customHeight="false" outlineLevel="0" collapsed="false">
      <c r="A34" s="15" t="n">
        <v>18</v>
      </c>
      <c r="B34" s="36" t="n">
        <f aca="false">$B$12*A34-$B$5</f>
        <v>6300</v>
      </c>
    </row>
    <row r="35" customFormat="false" ht="15" hidden="false" customHeight="false" outlineLevel="0" collapsed="false">
      <c r="A35" s="15" t="n">
        <v>19</v>
      </c>
      <c r="B35" s="36" t="n">
        <f aca="false">$B$12*A35-$B$5</f>
        <v>7200</v>
      </c>
    </row>
    <row r="36" customFormat="false" ht="15" hidden="false" customHeight="false" outlineLevel="0" collapsed="false">
      <c r="A36" s="15" t="n">
        <v>20</v>
      </c>
      <c r="B36" s="36" t="n">
        <f aca="false">$B$12*A36-$B$5</f>
        <v>8100</v>
      </c>
    </row>
    <row r="37" customFormat="false" ht="15" hidden="false" customHeight="false" outlineLevel="0" collapsed="false">
      <c r="A37" s="15" t="n">
        <v>21</v>
      </c>
      <c r="B37" s="36" t="n">
        <f aca="false">$B$12*A37-$B$5</f>
        <v>9000</v>
      </c>
    </row>
    <row r="38" customFormat="false" ht="15" hidden="false" customHeight="false" outlineLevel="0" collapsed="false">
      <c r="A38" s="15" t="n">
        <v>22</v>
      </c>
      <c r="B38" s="36" t="n">
        <f aca="false">$B$12*A38-$B$5</f>
        <v>9900</v>
      </c>
    </row>
    <row r="39" customFormat="false" ht="15" hidden="false" customHeight="false" outlineLevel="0" collapsed="false">
      <c r="A39" s="15" t="n">
        <v>23</v>
      </c>
      <c r="B39" s="36" t="n">
        <f aca="false">$B$12*A39-$B$5</f>
        <v>10800</v>
      </c>
    </row>
    <row r="40" customFormat="false" ht="15" hidden="false" customHeight="false" outlineLevel="0" collapsed="false">
      <c r="A40" s="15" t="n">
        <v>24</v>
      </c>
      <c r="B40" s="36" t="n">
        <f aca="false">$B$12*A40-$B$5</f>
        <v>11700</v>
      </c>
    </row>
    <row r="41" customFormat="false" ht="15" hidden="false" customHeight="false" outlineLevel="0" collapsed="false">
      <c r="A41" s="15" t="n">
        <v>25</v>
      </c>
      <c r="B41" s="36" t="n">
        <f aca="false">$B$12*A41-$B$5</f>
        <v>12600</v>
      </c>
    </row>
    <row r="42" customFormat="false" ht="15" hidden="false" customHeight="false" outlineLevel="0" collapsed="false">
      <c r="A42" s="15" t="n">
        <v>26</v>
      </c>
      <c r="B42" s="36" t="n">
        <f aca="false">$B$12*A42-$B$5</f>
        <v>13500</v>
      </c>
    </row>
    <row r="43" customFormat="false" ht="15" hidden="false" customHeight="false" outlineLevel="0" collapsed="false">
      <c r="A43" s="15" t="n">
        <v>27</v>
      </c>
      <c r="B43" s="36" t="n">
        <f aca="false">$B$12*A43-$B$5</f>
        <v>14400</v>
      </c>
    </row>
    <row r="44" customFormat="false" ht="15" hidden="false" customHeight="false" outlineLevel="0" collapsed="false">
      <c r="A44" s="15" t="n">
        <v>28</v>
      </c>
      <c r="B44" s="36" t="n">
        <f aca="false">$B$12*A44-$B$5</f>
        <v>15300</v>
      </c>
    </row>
    <row r="45" customFormat="false" ht="15" hidden="false" customHeight="false" outlineLevel="0" collapsed="false">
      <c r="A45" s="15" t="n">
        <v>29</v>
      </c>
      <c r="B45" s="36" t="n">
        <f aca="false">$B$12*A45-$B$5</f>
        <v>16200</v>
      </c>
    </row>
    <row r="46" customFormat="false" ht="15" hidden="false" customHeight="false" outlineLevel="0" collapsed="false">
      <c r="A46" s="15" t="n">
        <v>30</v>
      </c>
      <c r="B46" s="36" t="n">
        <f aca="false">$B$12*A46-$B$5</f>
        <v>17100</v>
      </c>
    </row>
    <row r="47" customFormat="false" ht="15" hidden="false" customHeight="false" outlineLevel="0" collapsed="false">
      <c r="A47" s="15" t="n">
        <v>31</v>
      </c>
      <c r="B47" s="36" t="n">
        <f aca="false">$B$12*A47-$B$5</f>
        <v>18000</v>
      </c>
    </row>
    <row r="48" customFormat="false" ht="15" hidden="false" customHeight="false" outlineLevel="0" collapsed="false">
      <c r="A48" s="15" t="n">
        <v>32</v>
      </c>
      <c r="B48" s="36" t="n">
        <f aca="false">$B$12*A48-$B$5</f>
        <v>18900</v>
      </c>
    </row>
    <row r="49" customFormat="false" ht="15" hidden="false" customHeight="false" outlineLevel="0" collapsed="false">
      <c r="A49" s="15" t="n">
        <v>33</v>
      </c>
      <c r="B49" s="36" t="n">
        <f aca="false">$B$12*A49-$B$5</f>
        <v>19800</v>
      </c>
    </row>
    <row r="50" customFormat="false" ht="15" hidden="false" customHeight="false" outlineLevel="0" collapsed="false">
      <c r="A50" s="15" t="n">
        <v>34</v>
      </c>
      <c r="B50" s="36" t="n">
        <f aca="false">$B$12*A50-$B$5</f>
        <v>20700</v>
      </c>
    </row>
    <row r="51" customFormat="false" ht="15" hidden="false" customHeight="false" outlineLevel="0" collapsed="false">
      <c r="A51" s="15" t="n">
        <v>35</v>
      </c>
      <c r="B51" s="36" t="n">
        <f aca="false">$B$12*A51-$B$5</f>
        <v>21600</v>
      </c>
    </row>
    <row r="52" customFormat="false" ht="15" hidden="false" customHeight="false" outlineLevel="0" collapsed="false">
      <c r="A52" s="15" t="n">
        <v>36</v>
      </c>
      <c r="B52" s="36" t="n">
        <f aca="false">$B$12*A52-$B$5</f>
        <v>22500</v>
      </c>
    </row>
  </sheetData>
  <conditionalFormatting sqref="B11">
    <cfRule type="cellIs" priority="2" operator="equal" aboveAverage="0" equalAverage="0" bottom="0" percent="0" rank="0" text="" dxfId="0">
      <formula>"SLOW"</formula>
    </cfRule>
    <cfRule type="cellIs" priority="3" operator="equal" aboveAverage="0" equalAverage="0" bottom="0" percent="0" rank="0" text="" dxfId="1">
      <formula>"HEALTHY"</formula>
    </cfRule>
    <cfRule type="cellIs" priority="4" operator="equal" aboveAverage="0" equalAverage="0" bottom="0" percent="0" rank="0" text="" dxfId="2">
      <formula>"EXCELLENT"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2026-09-07T12:15:19Z</dcterms:created>
  <dc:creator>openpyxl</dc:creator>
  <dc:description/>
  <dc:language>en-US</dc:language>
  <cp:lastModifiedBy/>
  <dcterms:modified xsi:type="dcterms:W3CDTF">2026-09-07T12:15:38Z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
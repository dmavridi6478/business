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Lookup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<sst xmlns="http://schemas.openxmlformats.org/spreadsheetml/2006/main" count="63" uniqueCount="59">
  <si>
    <t xml:space="preserve">Line item</t>
  </si>
  <si>
    <t xml:space="preserve">Jan-23</t>
  </si>
  <si>
    <t xml:space="preserve">Feb-23</t>
  </si>
  <si>
    <t xml:space="preserve">Mar-23</t>
  </si>
  <si>
    <t xml:space="preserve">Apr-23</t>
  </si>
  <si>
    <t xml:space="preserve">May-23</t>
  </si>
  <si>
    <t xml:space="preserve">Jun-23</t>
  </si>
  <si>
    <t xml:space="preserve">Revenue</t>
  </si>
  <si>
    <t xml:space="preserve">COGS</t>
  </si>
  <si>
    <t xml:space="preserve">Gross Profit</t>
  </si>
  <si>
    <t xml:space="preserve">OpEx</t>
  </si>
  <si>
    <t xml:space="preserve">Net Operating Income</t>
  </si>
  <si>
    <t xml:space="preserve">Net Other Income</t>
  </si>
  <si>
    <t xml:space="preserve">Net Income</t>
  </si>
  <si>
    <t xml:space="preserve">Blue = inputs from the infographic (Your CFO Guy, 2024). Black = formulas.</t>
  </si>
  <si>
    <t xml:space="preserve">Assumption: the graphic's Net Income equals Net Operating Income MINUS 'Net Other Income' in every month, so that row behaves as other expense; the label is as printed.</t>
  </si>
  <si>
    <t xml:space="preserve">Lookup practice - change the blue cells</t>
  </si>
  <si>
    <t xml:space="preserve">Row label</t>
  </si>
  <si>
    <t xml:space="preserve">Month (text, as in Data row 1)</t>
  </si>
  <si>
    <t xml:space="preserve">Row label 2</t>
  </si>
  <si>
    <t xml:space="preserve">Month 2</t>
  </si>
  <si>
    <t xml:space="preserve">Yellow cells are the ones to edit. Example row values above reproduce the graphic.</t>
  </si>
  <si>
    <t xml:space="preserve">Function</t>
  </si>
  <si>
    <t xml:space="preserve">Formula</t>
  </si>
  <si>
    <t xml:space="preserve">Result</t>
  </si>
  <si>
    <t xml:space="preserve">Expected from graphic</t>
  </si>
  <si>
    <t xml:space="preserve">Note</t>
  </si>
  <si>
    <t xml:space="preserve">VLOOKUP (exact)</t>
  </si>
  <si>
    <t xml:space="preserve">VLOOKUP($C$3,Data!$B$1:$H$8,4,FALSE)</t>
  </si>
  <si>
    <t xml:space="preserve">35,254 Revenue Mar-23</t>
  </si>
  <si>
    <t xml:space="preserve">4 = Mar-23 is the 4th column of the range. FALSE = exact match. Hard-coded column number breaks if a column is inserted.</t>
  </si>
  <si>
    <t xml:space="preserve">VLOOKUP (column found by MATCH)</t>
  </si>
  <si>
    <t xml:space="preserve">VLOOKUP($C$3,Data!$B$1:$H$8,MATCH($C$4,Data!$B$1:$H$1,0),FALSE)</t>
  </si>
  <si>
    <t xml:space="preserve">35,254</t>
  </si>
  <si>
    <t xml:space="preserve">Safer: the column index follows the header.</t>
  </si>
  <si>
    <t xml:space="preserve">HLOOKUP (exact)</t>
  </si>
  <si>
    <t xml:space="preserve">HLOOKUP($C$4,Data!$B$1:$H$8,3,FALSE)</t>
  </si>
  <si>
    <t xml:space="preserve">5,587 COGS Mar-23</t>
  </si>
  <si>
    <t xml:space="preserve">3 = third row of the range (header, Revenue, COGS).</t>
  </si>
  <si>
    <t xml:space="preserve">INDEX / MATCH</t>
  </si>
  <si>
    <t xml:space="preserve">INDEX(Data!$C$2:$H$8,MATCH("Gross Profit",Data!$B$2:$B$8,0),MATCH($C$4,Data!$C$1:$H$1,0))</t>
  </si>
  <si>
    <t xml:space="preserve">29,667 Gross Profit Mar-23</t>
  </si>
  <si>
    <t xml:space="preserve">Works in every Excel version and any direction; the replacement for XLOOKUP when you must share with old versions.</t>
  </si>
  <si>
    <t xml:space="preserve">INDEX / MATCH (second pair)</t>
  </si>
  <si>
    <t xml:space="preserve">INDEX(Data!$C$2:$H$8,MATCH($C$5,Data!$B$2:$B$8,0),MATCH($C$6,Data!$C$1:$H$1,0))</t>
  </si>
  <si>
    <t xml:space="preserve">44,722 Net Income Apr-23</t>
  </si>
  <si>
    <t xml:space="preserve">Two lookups at once: the 'nested' XLOOKUP example in the graphic.</t>
  </si>
  <si>
    <t xml:space="preserve">Not found handled</t>
  </si>
  <si>
    <t xml:space="preserve">IFERROR(VLOOKUP("Marketing",Data!$B$1:$H$8,4,FALSE),"not found")</t>
  </si>
  <si>
    <t xml:space="preserve">not found</t>
  </si>
  <si>
    <t xml:space="preserve">Use instead of a lookup error showing in the sheet. XLOOKUP has this built in (if_not_found).</t>
  </si>
  <si>
    <t xml:space="preserve">XLOOKUP (Excel 365 / 2021 and Google Sheets only; typed here as text, not evaluated in this file)</t>
  </si>
  <si>
    <t xml:space="preserve">Gross Profit Mar-23</t>
  </si>
  <si>
    <t xml:space="preserve">XLOOKUP("Mar-23",Data!C1:H1,Data!C4:H4)</t>
  </si>
  <si>
    <t xml:space="preserve">Net Income Apr-23 (nested)</t>
  </si>
  <si>
    <t xml:space="preserve">XLOOKUP("Apr-23",Data!C1:H1,XLOOKUP("Net Income",Data!B2:B8,Data!C2:H8))</t>
  </si>
  <si>
    <t xml:space="preserve">With default if missing</t>
  </si>
  <si>
    <t xml:space="preserve">XLOOKUP("Jul-23",Data!C1:H1,Data!C2:H2,"not found")</t>
  </si>
  <si>
    <t xml:space="preserve">Source: graphic by Josh Aharonoff, Your CFO Guy (2024). Figures re-keyed from the image; formulas written for this workbook.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</si>
</sst>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Courier Ne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7D0"/>
        <bgColor rgb="FFCCFFFF"/>
      </patternFill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8" min="3" style="0" width="11"/>
  </cols>
  <sheetData>
    <row r="1" customFormat="false" ht="15" hidden="false" customHeight="false" outlineLevel="0" collapsed="false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15" hidden="false" customHeight="false" outlineLevel="0" collapsed="false">
      <c r="B2" s="3" t="s">
        <v>7</v>
      </c>
      <c r="C2" s="4" t="n">
        <v>41286</v>
      </c>
      <c r="D2" s="4" t="n">
        <v>13131</v>
      </c>
      <c r="E2" s="4" t="n">
        <v>35254</v>
      </c>
      <c r="F2" s="4" t="n">
        <v>79119</v>
      </c>
      <c r="G2" s="4" t="n">
        <v>23300</v>
      </c>
      <c r="H2" s="4" t="n">
        <v>52584</v>
      </c>
    </row>
    <row r="3" customFormat="false" ht="15" hidden="false" customHeight="false" outlineLevel="0" collapsed="false">
      <c r="B3" s="3" t="s">
        <v>8</v>
      </c>
      <c r="C3" s="4" t="n">
        <v>2327</v>
      </c>
      <c r="D3" s="4" t="n">
        <v>6490</v>
      </c>
      <c r="E3" s="4" t="n">
        <v>5587</v>
      </c>
      <c r="F3" s="4" t="n">
        <v>4631</v>
      </c>
      <c r="G3" s="4" t="n">
        <v>7148</v>
      </c>
      <c r="H3" s="4" t="n">
        <v>2462</v>
      </c>
    </row>
    <row r="4" customFormat="false" ht="15" hidden="false" customHeight="false" outlineLevel="0" collapsed="false">
      <c r="B4" s="5" t="s">
        <v>9</v>
      </c>
      <c r="C4" s="6" t="n">
        <f aca="false">C2-C3</f>
        <v>38959</v>
      </c>
      <c r="D4" s="6" t="n">
        <f aca="false">D2-D3</f>
        <v>6641</v>
      </c>
      <c r="E4" s="6" t="n">
        <f aca="false">E2-E3</f>
        <v>29667</v>
      </c>
      <c r="F4" s="6" t="n">
        <f aca="false">F2-F3</f>
        <v>74488</v>
      </c>
      <c r="G4" s="6" t="n">
        <f aca="false">G2-G3</f>
        <v>16152</v>
      </c>
      <c r="H4" s="6" t="n">
        <f aca="false">H2-H3</f>
        <v>50122</v>
      </c>
    </row>
    <row r="5" customFormat="false" ht="15" hidden="false" customHeight="false" outlineLevel="0" collapsed="false">
      <c r="B5" s="3" t="s">
        <v>10</v>
      </c>
      <c r="C5" s="4" t="n">
        <v>18326</v>
      </c>
      <c r="D5" s="4" t="n">
        <v>21454</v>
      </c>
      <c r="E5" s="4" t="n">
        <v>17147</v>
      </c>
      <c r="F5" s="4" t="n">
        <v>5356</v>
      </c>
      <c r="G5" s="4" t="n">
        <v>7455</v>
      </c>
      <c r="H5" s="4" t="n">
        <v>6349</v>
      </c>
    </row>
    <row r="6" customFormat="false" ht="15" hidden="false" customHeight="false" outlineLevel="0" collapsed="false">
      <c r="B6" s="3" t="s">
        <v>11</v>
      </c>
      <c r="C6" s="6" t="n">
        <f aca="false">C4-C5</f>
        <v>20633</v>
      </c>
      <c r="D6" s="6" t="n">
        <f aca="false">D4-D5</f>
        <v>-14813</v>
      </c>
      <c r="E6" s="6" t="n">
        <f aca="false">E4-E5</f>
        <v>12520</v>
      </c>
      <c r="F6" s="6" t="n">
        <f aca="false">F4-F5</f>
        <v>69132</v>
      </c>
      <c r="G6" s="6" t="n">
        <f aca="false">G4-G5</f>
        <v>8697</v>
      </c>
      <c r="H6" s="6" t="n">
        <f aca="false">H4-H5</f>
        <v>43773</v>
      </c>
    </row>
    <row r="7" customFormat="false" ht="15" hidden="false" customHeight="false" outlineLevel="0" collapsed="false">
      <c r="B7" s="3" t="s">
        <v>12</v>
      </c>
      <c r="C7" s="4" t="n">
        <v>26984</v>
      </c>
      <c r="D7" s="4" t="n">
        <v>13415</v>
      </c>
      <c r="E7" s="4" t="n">
        <v>20244</v>
      </c>
      <c r="F7" s="4" t="n">
        <v>24410</v>
      </c>
      <c r="G7" s="4" t="n">
        <v>23797</v>
      </c>
      <c r="H7" s="4" t="n">
        <v>19953</v>
      </c>
    </row>
    <row r="8" customFormat="false" ht="15" hidden="false" customHeight="false" outlineLevel="0" collapsed="false">
      <c r="B8" s="5" t="s">
        <v>13</v>
      </c>
      <c r="C8" s="6" t="n">
        <f aca="false">C6-C7</f>
        <v>-6351</v>
      </c>
      <c r="D8" s="6" t="n">
        <f aca="false">D6-D7</f>
        <v>-28228</v>
      </c>
      <c r="E8" s="6" t="n">
        <f aca="false">E6-E7</f>
        <v>-7724</v>
      </c>
      <c r="F8" s="6" t="n">
        <f aca="false">F6-F7</f>
        <v>44722</v>
      </c>
      <c r="G8" s="6" t="n">
        <f aca="false">G6-G7</f>
        <v>-15100</v>
      </c>
      <c r="H8" s="6" t="n">
        <f aca="false">H6-H7</f>
        <v>23820</v>
      </c>
    </row>
    <row r="10" customFormat="false" ht="15" hidden="false" customHeight="false" outlineLevel="0" collapsed="false">
      <c r="B10" s="7" t="s">
        <v>14</v>
      </c>
    </row>
    <row r="11" customFormat="false" ht="15" hidden="false" customHeight="false" outlineLevel="0" collapsed="false">
      <c r="B11" s="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60"/>
  </cols>
  <sheetData>
    <row r="1" customFormat="false" ht="15" hidden="false" customHeight="false" outlineLevel="0" collapsed="false">
      <c r="B1" s="8" t="s">
        <v>16</v>
      </c>
    </row>
    <row r="3" customFormat="false" ht="15" hidden="false" customHeight="false" outlineLevel="0" collapsed="false">
      <c r="B3" s="3" t="s">
        <v>17</v>
      </c>
      <c r="C3" s="9" t="s">
        <v>7</v>
      </c>
    </row>
    <row r="4" customFormat="false" ht="15" hidden="false" customHeight="false" outlineLevel="0" collapsed="false">
      <c r="B4" s="3" t="s">
        <v>18</v>
      </c>
      <c r="C4" s="9" t="s">
        <v>3</v>
      </c>
    </row>
    <row r="5" customFormat="false" ht="15" hidden="false" customHeight="false" outlineLevel="0" collapsed="false">
      <c r="B5" s="3" t="s">
        <v>19</v>
      </c>
      <c r="C5" s="9" t="s">
        <v>13</v>
      </c>
    </row>
    <row r="6" customFormat="false" ht="15" hidden="false" customHeight="false" outlineLevel="0" collapsed="false">
      <c r="B6" s="3" t="s">
        <v>20</v>
      </c>
      <c r="C6" s="9" t="s">
        <v>4</v>
      </c>
    </row>
    <row r="7" customFormat="false" ht="15" hidden="false" customHeight="false" outlineLevel="0" collapsed="false">
      <c r="B7" s="7" t="s">
        <v>21</v>
      </c>
    </row>
    <row r="9" customFormat="false" ht="15" hidden="false" customHeight="false" outlineLevel="0" collapsed="false"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</row>
    <row r="10" customFormat="false" ht="23.85" hidden="false" customHeight="false" outlineLevel="0" collapsed="false">
      <c r="B10" s="10" t="s">
        <v>27</v>
      </c>
      <c r="C10" s="11" t="s">
        <v>28</v>
      </c>
      <c r="D10" s="12" t="n">
        <f aca="false">VLOOKUP($C$3,Data!$B$1:$H$8,4,FALSE())</f>
        <v>35254</v>
      </c>
      <c r="E10" s="10" t="s">
        <v>29</v>
      </c>
      <c r="F10" s="10" t="s">
        <v>30</v>
      </c>
    </row>
    <row r="11" customFormat="false" ht="23.85" hidden="false" customHeight="false" outlineLevel="0" collapsed="false">
      <c r="B11" s="10" t="s">
        <v>31</v>
      </c>
      <c r="C11" s="11" t="s">
        <v>32</v>
      </c>
      <c r="D11" s="12" t="n">
        <f aca="false">VLOOKUP($C$3,Data!$B$1:$H$8,MATCH($C$4,Data!$B$1:$H$1,0),FALSE())</f>
        <v>35254</v>
      </c>
      <c r="E11" s="10" t="s">
        <v>33</v>
      </c>
      <c r="F11" s="10" t="s">
        <v>34</v>
      </c>
    </row>
    <row r="12" customFormat="false" ht="15" hidden="false" customHeight="false" outlineLevel="0" collapsed="false">
      <c r="B12" s="10" t="s">
        <v>35</v>
      </c>
      <c r="C12" s="11" t="s">
        <v>36</v>
      </c>
      <c r="D12" s="12" t="n">
        <f aca="false">HLOOKUP($C$4,Data!$B$1:$H$8,3,FALSE())</f>
        <v>5587</v>
      </c>
      <c r="E12" s="10" t="s">
        <v>37</v>
      </c>
      <c r="F12" s="10" t="s">
        <v>38</v>
      </c>
    </row>
    <row r="13" customFormat="false" ht="23.85" hidden="false" customHeight="false" outlineLevel="0" collapsed="false">
      <c r="B13" s="10" t="s">
        <v>39</v>
      </c>
      <c r="C13" s="11" t="s">
        <v>40</v>
      </c>
      <c r="D13" s="12" t="n">
        <f aca="false">INDEX(Data!$C$2:$H$8,MATCH("Gross Profit",Data!$B$2:$B$8,0),MATCH($C$4,Data!$C$1:$H$1,0))</f>
        <v>29667</v>
      </c>
      <c r="E13" s="10" t="s">
        <v>41</v>
      </c>
      <c r="F13" s="10" t="s">
        <v>42</v>
      </c>
    </row>
    <row r="14" customFormat="false" ht="22.35" hidden="false" customHeight="false" outlineLevel="0" collapsed="false">
      <c r="B14" s="10" t="s">
        <v>43</v>
      </c>
      <c r="C14" s="11" t="s">
        <v>44</v>
      </c>
      <c r="D14" s="12" t="n">
        <f aca="false">INDEX(Data!$C$2:$H$8,MATCH($C$5,Data!$B$2:$B$8,0),MATCH($C$6,Data!$C$1:$H$1,0))</f>
        <v>44722</v>
      </c>
      <c r="E14" s="10" t="s">
        <v>45</v>
      </c>
      <c r="F14" s="10" t="s">
        <v>46</v>
      </c>
    </row>
    <row r="15" customFormat="false" ht="23.85" hidden="false" customHeight="false" outlineLevel="0" collapsed="false">
      <c r="B15" s="10" t="s">
        <v>47</v>
      </c>
      <c r="C15" s="11" t="s">
        <v>48</v>
      </c>
      <c r="D15" s="12" t="str">
        <f aca="false">IFERROR(VLOOKUP("Marketing",Data!$B$1:$H$8,4,FALSE()),"not found")</f>
        <v>not found</v>
      </c>
      <c r="E15" s="10" t="s">
        <v>49</v>
      </c>
      <c r="F15" s="10" t="s">
        <v>50</v>
      </c>
    </row>
    <row r="16" customFormat="false" ht="15" hidden="false" customHeight="false" outlineLevel="0" collapsed="false">
      <c r="B16" s="10"/>
      <c r="C16" s="10"/>
      <c r="D16" s="10"/>
      <c r="E16" s="10"/>
      <c r="F16" s="10"/>
    </row>
    <row r="17" customFormat="false" ht="35.05" hidden="false" customHeight="false" outlineLevel="0" collapsed="false">
      <c r="B17" s="10" t="s">
        <v>51</v>
      </c>
      <c r="C17" s="10"/>
      <c r="D17" s="10"/>
      <c r="E17" s="10"/>
      <c r="F17" s="10"/>
    </row>
    <row r="18" customFormat="false" ht="15" hidden="false" customHeight="false" outlineLevel="0" collapsed="false">
      <c r="B18" s="10" t="s">
        <v>52</v>
      </c>
      <c r="C18" s="11" t="s">
        <v>53</v>
      </c>
      <c r="D18" s="10"/>
      <c r="E18" s="10"/>
      <c r="F18" s="10"/>
    </row>
    <row r="19" customFormat="false" ht="22.35" hidden="false" customHeight="false" outlineLevel="0" collapsed="false">
      <c r="B19" s="10" t="s">
        <v>54</v>
      </c>
      <c r="C19" s="11" t="s">
        <v>55</v>
      </c>
      <c r="D19" s="10"/>
      <c r="E19" s="10"/>
      <c r="F19" s="10"/>
    </row>
    <row r="20" customFormat="false" ht="15" hidden="false" customHeight="false" outlineLevel="0" collapsed="false">
      <c r="B20" s="10" t="s">
        <v>56</v>
      </c>
      <c r="C20" s="11" t="s">
        <v>57</v>
      </c>
      <c r="D20" s="10"/>
      <c r="E20" s="10"/>
      <c r="F20" s="10"/>
    </row>
    <row r="25" customFormat="false" ht="15" hidden="false" customHeight="false" outlineLevel="0" collapsed="false">
      <c r="B25" s="7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2026-10-15T13:20:16Z</dcterms:created>
  <dc:creator>openpyxl</dc:creator>
  <dc:description/>
  <dc:language>en-US</dc:language>
  <cp:lastModifiedBy/>
  <dcterms:modified xsi:type="dcterms:W3CDTF">2026-10-15T13:20:16Z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
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Phase summary" sheetId="2" state="visible" r:id="rId4"/>
    <sheet name="CF practice" sheetId="3" state="visible" r:id="rId5"/>
    <sheet name="Notes" sheetId="4" state="visible" r:id="rId6"/>
  </sheets>
  <definedNames>
    <definedName function="false" hidden="true" localSheetId="0" name="_xlnm._FilterDatabase" vbProcedure="false">Roadmap!$A$4:$G$84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<sst xmlns="http://schemas.openxmlformats.org/spreadsheetml/2006/main" count="322" uniqueCount="147">
  <si>
    <t xml:space="preserve">Project management road map tracker</t>
  </si>
  <si>
    <t xml:space="preserve">Phases and deliverables follow the Template22 Project Management Road Map graphic. Blue cells are inputs: owner, due date, status. Today is read from TODAY(), so overdue flags change daily.</t>
  </si>
  <si>
    <t xml:space="preserve">#</t>
  </si>
  <si>
    <t xml:space="preserve">Phase</t>
  </si>
  <si>
    <t xml:space="preserve">Deliverable</t>
  </si>
  <si>
    <t xml:space="preserve">Owner</t>
  </si>
  <si>
    <t xml:space="preserve">Due date</t>
  </si>
  <si>
    <t xml:space="preserve">Status</t>
  </si>
  <si>
    <t xml:space="preserve">Overdue?</t>
  </si>
  <si>
    <t xml:space="preserve">Project Initiation</t>
  </si>
  <si>
    <t xml:space="preserve">Business case</t>
  </si>
  <si>
    <t xml:space="preserve">Done</t>
  </si>
  <si>
    <t xml:space="preserve">Project charter</t>
  </si>
  <si>
    <t xml:space="preserve">Project assessment</t>
  </si>
  <si>
    <t xml:space="preserve">Identify stakeholders</t>
  </si>
  <si>
    <t xml:space="preserve">Approval and go/no-go</t>
  </si>
  <si>
    <t xml:space="preserve">Project Planning</t>
  </si>
  <si>
    <t xml:space="preserve">Project management plan</t>
  </si>
  <si>
    <t xml:space="preserve">In progress</t>
  </si>
  <si>
    <t xml:space="preserve">Scope statement</t>
  </si>
  <si>
    <t xml:space="preserve">Work breakdown structure (WBS)</t>
  </si>
  <si>
    <t xml:space="preserve">Schedule plan</t>
  </si>
  <si>
    <t xml:space="preserve">Not started</t>
  </si>
  <si>
    <t xml:space="preserve">Cost plan</t>
  </si>
  <si>
    <t xml:space="preserve">Blocked</t>
  </si>
  <si>
    <t xml:space="preserve">Resource plan</t>
  </si>
  <si>
    <t xml:space="preserve">Risk management plan</t>
  </si>
  <si>
    <t xml:space="preserve">Communication plan</t>
  </si>
  <si>
    <t xml:space="preserve">Project Scheduling</t>
  </si>
  <si>
    <t xml:space="preserve">Activity list</t>
  </si>
  <si>
    <t xml:space="preserve">Task sequencing</t>
  </si>
  <si>
    <t xml:space="preserve">Duration estimation</t>
  </si>
  <si>
    <t xml:space="preserve">Gantt chart</t>
  </si>
  <si>
    <t xml:space="preserve">Milestone plan</t>
  </si>
  <si>
    <t xml:space="preserve">Schedule baseline</t>
  </si>
  <si>
    <t xml:space="preserve">Resource Management</t>
  </si>
  <si>
    <t xml:space="preserve">Resource planning</t>
  </si>
  <si>
    <t xml:space="preserve">Resource allocation</t>
  </si>
  <si>
    <t xml:space="preserve">RACI matrix</t>
  </si>
  <si>
    <t xml:space="preserve">Team development plan</t>
  </si>
  <si>
    <t xml:space="preserve">Training plan</t>
  </si>
  <si>
    <t xml:space="preserve">Resource tracking</t>
  </si>
  <si>
    <t xml:space="preserve">Risk Management</t>
  </si>
  <si>
    <t xml:space="preserve">Risk identification</t>
  </si>
  <si>
    <t xml:space="preserve">Risk assessment</t>
  </si>
  <si>
    <t xml:space="preserve">Risk register</t>
  </si>
  <si>
    <t xml:space="preserve">Risk response plan</t>
  </si>
  <si>
    <t xml:space="preserve">Risk monitoring</t>
  </si>
  <si>
    <t xml:space="preserve">Contingency plan</t>
  </si>
  <si>
    <t xml:space="preserve">Procurement Management</t>
  </si>
  <si>
    <t xml:space="preserve">Procurement plan</t>
  </si>
  <si>
    <t xml:space="preserve">Make or buy analysis</t>
  </si>
  <si>
    <t xml:space="preserve">Supplier evaluation</t>
  </si>
  <si>
    <t xml:space="preserve">Contract management</t>
  </si>
  <si>
    <t xml:space="preserve">Purchase order</t>
  </si>
  <si>
    <t xml:space="preserve">Procurement tracking</t>
  </si>
  <si>
    <t xml:space="preserve">Stakeholder Management</t>
  </si>
  <si>
    <t xml:space="preserve">Stakeholder identification</t>
  </si>
  <si>
    <t xml:space="preserve">Stakeholder analysis</t>
  </si>
  <si>
    <t xml:space="preserve">Engagement plan</t>
  </si>
  <si>
    <t xml:space="preserve">Stakeholder register</t>
  </si>
  <si>
    <t xml:space="preserve">Feedback management</t>
  </si>
  <si>
    <t xml:space="preserve">Quality Management</t>
  </si>
  <si>
    <t xml:space="preserve">Quality planning</t>
  </si>
  <si>
    <t xml:space="preserve">Quality standards</t>
  </si>
  <si>
    <t xml:space="preserve">Quality assurance</t>
  </si>
  <si>
    <t xml:space="preserve">Quality control</t>
  </si>
  <si>
    <t xml:space="preserve">Inspection checklist</t>
  </si>
  <si>
    <t xml:space="preserve">Quality metrics</t>
  </si>
  <si>
    <t xml:space="preserve">Project Execution</t>
  </si>
  <si>
    <t xml:space="preserve">Task execution</t>
  </si>
  <si>
    <t xml:space="preserve">Team collaboration</t>
  </si>
  <si>
    <t xml:space="preserve">Deliverable development</t>
  </si>
  <si>
    <t xml:space="preserve">Progress monitoring</t>
  </si>
  <si>
    <t xml:space="preserve">Issue management</t>
  </si>
  <si>
    <t xml:space="preserve">Status reporting</t>
  </si>
  <si>
    <t xml:space="preserve">Cost Management</t>
  </si>
  <si>
    <t xml:space="preserve">Cost estimation</t>
  </si>
  <si>
    <t xml:space="preserve">Budget planning</t>
  </si>
  <si>
    <t xml:space="preserve">Cost tracking</t>
  </si>
  <si>
    <t xml:space="preserve">Earned value management</t>
  </si>
  <si>
    <t xml:space="preserve">Variance analysis</t>
  </si>
  <si>
    <t xml:space="preserve">Cost control measures</t>
  </si>
  <si>
    <t xml:space="preserve">Change Management</t>
  </si>
  <si>
    <t xml:space="preserve">Change request</t>
  </si>
  <si>
    <t xml:space="preserve">Impact assessment</t>
  </si>
  <si>
    <t xml:space="preserve">Change log</t>
  </si>
  <si>
    <t xml:space="preserve">Approval workflow</t>
  </si>
  <si>
    <t xml:space="preserve">Implementation plan</t>
  </si>
  <si>
    <t xml:space="preserve">Change monitoring</t>
  </si>
  <si>
    <t xml:space="preserve">Monitoring and Controlling</t>
  </si>
  <si>
    <t xml:space="preserve">Performance tracking</t>
  </si>
  <si>
    <t xml:space="preserve">KPI dashboard</t>
  </si>
  <si>
    <t xml:space="preserve">Risk and issue monitoring</t>
  </si>
  <si>
    <t xml:space="preserve">Quality monitoring</t>
  </si>
  <si>
    <t xml:space="preserve">Corrective actions</t>
  </si>
  <si>
    <t xml:space="preserve">Project reporting</t>
  </si>
  <si>
    <t xml:space="preserve">Project Closure</t>
  </si>
  <si>
    <t xml:space="preserve">Final deliverables</t>
  </si>
  <si>
    <t xml:space="preserve">Project closure report</t>
  </si>
  <si>
    <t xml:space="preserve">Lessons learned</t>
  </si>
  <si>
    <t xml:space="preserve">Stakeholder sign-off</t>
  </si>
  <si>
    <t xml:space="preserve">Release resources</t>
  </si>
  <si>
    <t xml:space="preserve">Archive project documents</t>
  </si>
  <si>
    <t xml:space="preserve">Progress by phase</t>
  </si>
  <si>
    <t xml:space="preserve">Deliverables</t>
  </si>
  <si>
    <t xml:space="preserve">Overdue</t>
  </si>
  <si>
    <t xml:space="preserve">% done</t>
  </si>
  <si>
    <t xml:space="preserve">All phases</t>
  </si>
  <si>
    <t xml:space="preserve">Conditional formatting practice: budget versus actual</t>
  </si>
  <si>
    <t xml:space="preserve">Inputs in blue. Each rule below is applied to the range named in row 4 of the Notes tab.</t>
  </si>
  <si>
    <t xml:space="preserve">Line</t>
  </si>
  <si>
    <t xml:space="preserve">Budget</t>
  </si>
  <si>
    <t xml:space="preserve">Actual</t>
  </si>
  <si>
    <t xml:space="preserve">Variance</t>
  </si>
  <si>
    <t xml:space="preserve">Variance %</t>
  </si>
  <si>
    <t xml:space="preserve">Status note</t>
  </si>
  <si>
    <t xml:space="preserve">Score</t>
  </si>
  <si>
    <t xml:space="preserve">Software</t>
  </si>
  <si>
    <t xml:space="preserve">Ana</t>
  </si>
  <si>
    <t xml:space="preserve">Over, needs approval</t>
  </si>
  <si>
    <t xml:space="preserve">Travel</t>
  </si>
  <si>
    <t xml:space="preserve">Ben</t>
  </si>
  <si>
    <t xml:space="preserve">Under</t>
  </si>
  <si>
    <t xml:space="preserve">Marketing</t>
  </si>
  <si>
    <t xml:space="preserve">Cara</t>
  </si>
  <si>
    <t xml:space="preserve">Hosting</t>
  </si>
  <si>
    <t xml:space="preserve">Dev</t>
  </si>
  <si>
    <t xml:space="preserve">On plan</t>
  </si>
  <si>
    <t xml:space="preserve">Training</t>
  </si>
  <si>
    <t xml:space="preserve">Contractors</t>
  </si>
  <si>
    <t xml:space="preserve">Eli</t>
  </si>
  <si>
    <t xml:space="preserve">Over, blocked by PO</t>
  </si>
  <si>
    <t xml:space="preserve">Legal</t>
  </si>
  <si>
    <t xml:space="preserve">Office</t>
  </si>
  <si>
    <t xml:space="preserve">Duplicate line</t>
  </si>
  <si>
    <t xml:space="preserve">Events</t>
  </si>
  <si>
    <t xml:space="preserve">Sheet</t>
  </si>
  <si>
    <t xml:space="preserve">What it shows</t>
  </si>
  <si>
    <t xml:space="preserve">Roadmap</t>
  </si>
  <si>
    <t xml:space="preserve">80 deliverables across 13 phases; status dropdown; rows turn green when Done and red when Blocked; Overdue? uses TODAY()</t>
  </si>
  <si>
    <t xml:space="preserve">Phase summary</t>
  </si>
  <si>
    <t xml:space="preserve">COUNTIFS per phase and a data bar for % done</t>
  </si>
  <si>
    <t xml:space="preserve">CF practice</t>
  </si>
  <si>
    <t xml:space="preserve">Rules applied: variance over 10% (red), duplicate Line (yellow), top 3 Scores (green), text contains "blocked" (red), data bars on Actual, arrow icons on Variance, custom formula on Owner (variance over 10% and score under 60)</t>
  </si>
  <si>
    <t xml:space="preserve">Assumptions</t>
  </si>
  <si>
    <t xml:space="preserve">Due dates are placeholders from 2 Nov 2026, one week per phase; replace them. Sample statuses are examples, not real progress. Rules are standard Excel conditional formats; the PivotTable features in the pivot infographic cannot be created by this file, so build a pivot from the CF practice table in Excel.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</si>
</sst>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 mmm\ yyyy"/>
    <numFmt numFmtId="166" formatCode="General"/>
    <numFmt numFmtId="167" formatCode="0%"/>
    <numFmt numFmtId="168" formatCode="#,##0"/>
    <numFmt numFmtId="169" formatCode="#,##0;[RED]\-#,##0"/>
    <numFmt numFmtId="170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ptos"/>
      <family val="0"/>
      <charset val="1"/>
    </font>
    <font>
      <i val="true"/>
      <sz val="11"/>
      <color rgb="FF55648A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1"/>
      <name val="Aptos"/>
      <family val="0"/>
      <charset val="1"/>
    </font>
    <font>
      <sz val="11"/>
      <color rgb="FF0000FF"/>
      <name val="Aptos"/>
      <family val="0"/>
      <charset val="1"/>
    </font>
    <font>
      <b val="true"/>
      <sz val="11"/>
      <name val="Apto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153D7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0153D7"/>
          <bgColor rgb="FF000000"/>
        </patternFill>
      </fill>
    </dxf>
    <dxf>
      <fill>
        <patternFill patternType="solid">
          <fgColor rgb="FFDDF3E4"/>
          <bgColor rgb="FF000000"/>
        </patternFill>
      </fill>
    </dxf>
    <dxf>
      <fill>
        <patternFill patternType="solid">
          <fgColor rgb="FFFFE2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7A3C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1D7A3C"/>
      </font>
      <fill>
        <patternFill>
          <bgColor rgb="FFDDF3E4"/>
        </patternFill>
      </fill>
    </dxf>
    <dxf>
      <font>
        <b val="1"/>
        <color rgb="FFB3261E"/>
      </font>
      <fill>
        <patternFill>
          <bgColor rgb="FFFFE2E1"/>
        </patternFill>
      </fill>
    </dxf>
    <dxf>
      <font>
        <b val="1"/>
        <color rgb="FFB3261E"/>
      </font>
    </dxf>
    <dxf>
      <fill>
        <patternFill>
          <bgColor rgb="FFFFF4CF"/>
        </patternFill>
      </fill>
    </dxf>
    <dxf>
      <font>
        <b val="1"/>
        <color rgb="FF1D7A3C"/>
      </font>
      <fill>
        <patternFill>
          <bgColor rgb="FFDDF3E4"/>
        </patternFill>
      </fill>
    </dxf>
    <dxf>
      <font>
        <color rgb="FFB3261E"/>
      </font>
      <fill>
        <patternFill>
          <bgColor rgb="FFFFE2E1"/>
        </patternFill>
      </fill>
    </dxf>
    <dxf>
      <fill>
        <patternFill>
          <bgColor rgb="FFE7F2F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7A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F"/>
      <rgbColor rgb="FFE7F2FD"/>
      <rgbColor rgb="FF660066"/>
      <rgbColor rgb="FFFF8080"/>
      <rgbColor rgb="FF0153D7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3E4"/>
      <rgbColor rgb="FFFFFF99"/>
      <rgbColor rgb="FF99CCFF"/>
      <rgbColor rgb="FFFF99CC"/>
      <rgbColor rgb="FFCC99FF"/>
      <rgbColor rgb="FFFFE2E1"/>
      <rgbColor rgb="FF3366FF"/>
      <rgbColor rgb="FF33CCCC"/>
      <rgbColor rgb="FF99CC00"/>
      <rgbColor rgb="FFFFCC00"/>
      <rgbColor rgb="FFFF9900"/>
      <rgbColor rgb="FFFF6600"/>
      <rgbColor rgb="FF55648A"/>
      <rgbColor rgb="FF969696"/>
      <rgbColor rgb="FF003366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1"/>
  </cols>
  <sheetData>
    <row r="1" customFormat="false" ht="19.7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9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5" t="s">
        <v>9</v>
      </c>
      <c r="C5" s="5" t="s">
        <v>10</v>
      </c>
      <c r="D5" s="6"/>
      <c r="E5" s="7" t="n">
        <v>46328</v>
      </c>
      <c r="F5" s="8" t="s">
        <v>11</v>
      </c>
      <c r="G5" s="4" t="str">
        <f aca="true">IF(AND(E5&lt;TODAY(),F5&lt;&gt;"Done"),"Overdue","")</f>
        <v/>
      </c>
    </row>
    <row r="6" customFormat="false" ht="15" hidden="false" customHeight="false" outlineLevel="0" collapsed="false">
      <c r="A6" s="4" t="n">
        <v>1</v>
      </c>
      <c r="B6" s="5" t="s">
        <v>9</v>
      </c>
      <c r="C6" s="5" t="s">
        <v>12</v>
      </c>
      <c r="D6" s="6"/>
      <c r="E6" s="7" t="n">
        <v>46329</v>
      </c>
      <c r="F6" s="8" t="s">
        <v>11</v>
      </c>
      <c r="G6" s="4" t="str">
        <f aca="true">IF(AND(E6&lt;TODAY(),F6&lt;&gt;"Done"),"Overdue","")</f>
        <v/>
      </c>
    </row>
    <row r="7" customFormat="false" ht="15" hidden="false" customHeight="false" outlineLevel="0" collapsed="false">
      <c r="A7" s="4" t="n">
        <v>1</v>
      </c>
      <c r="B7" s="5" t="s">
        <v>9</v>
      </c>
      <c r="C7" s="5" t="s">
        <v>13</v>
      </c>
      <c r="D7" s="6"/>
      <c r="E7" s="7" t="n">
        <v>46330</v>
      </c>
      <c r="F7" s="8" t="s">
        <v>11</v>
      </c>
      <c r="G7" s="4" t="str">
        <f aca="true">IF(AND(E7&lt;TODAY(),F7&lt;&gt;"Done"),"Overdue","")</f>
        <v/>
      </c>
    </row>
    <row r="8" customFormat="false" ht="15" hidden="false" customHeight="false" outlineLevel="0" collapsed="false">
      <c r="A8" s="4" t="n">
        <v>1</v>
      </c>
      <c r="B8" s="5" t="s">
        <v>9</v>
      </c>
      <c r="C8" s="5" t="s">
        <v>14</v>
      </c>
      <c r="D8" s="6"/>
      <c r="E8" s="7" t="n">
        <v>46331</v>
      </c>
      <c r="F8" s="8" t="s">
        <v>11</v>
      </c>
      <c r="G8" s="4" t="str">
        <f aca="true">IF(AND(E8&lt;TODAY(),F8&lt;&gt;"Done"),"Overdue","")</f>
        <v/>
      </c>
    </row>
    <row r="9" customFormat="false" ht="15" hidden="false" customHeight="false" outlineLevel="0" collapsed="false">
      <c r="A9" s="4" t="n">
        <v>1</v>
      </c>
      <c r="B9" s="5" t="s">
        <v>9</v>
      </c>
      <c r="C9" s="5" t="s">
        <v>15</v>
      </c>
      <c r="D9" s="6"/>
      <c r="E9" s="7" t="n">
        <v>46332</v>
      </c>
      <c r="F9" s="8" t="s">
        <v>11</v>
      </c>
      <c r="G9" s="4" t="str">
        <f aca="true">IF(AND(E9&lt;TODAY(),F9&lt;&gt;"Done"),"Overdue","")</f>
        <v/>
      </c>
    </row>
    <row r="10" customFormat="false" ht="15" hidden="false" customHeight="false" outlineLevel="0" collapsed="false">
      <c r="A10" s="4" t="n">
        <v>2</v>
      </c>
      <c r="B10" s="5" t="s">
        <v>16</v>
      </c>
      <c r="C10" s="5" t="s">
        <v>17</v>
      </c>
      <c r="D10" s="6"/>
      <c r="E10" s="7" t="n">
        <v>46335</v>
      </c>
      <c r="F10" s="8" t="s">
        <v>18</v>
      </c>
      <c r="G10" s="4" t="str">
        <f aca="true">IF(AND(E10&lt;TODAY(),F10&lt;&gt;"Done"),"Overdue","")</f>
        <v/>
      </c>
    </row>
    <row r="11" customFormat="false" ht="15" hidden="false" customHeight="false" outlineLevel="0" collapsed="false">
      <c r="A11" s="4" t="n">
        <v>2</v>
      </c>
      <c r="B11" s="5" t="s">
        <v>16</v>
      </c>
      <c r="C11" s="5" t="s">
        <v>19</v>
      </c>
      <c r="D11" s="6"/>
      <c r="E11" s="7" t="n">
        <v>46336</v>
      </c>
      <c r="F11" s="8" t="s">
        <v>18</v>
      </c>
      <c r="G11" s="4" t="str">
        <f aca="true">IF(AND(E11&lt;TODAY(),F11&lt;&gt;"Done"),"Overdue","")</f>
        <v/>
      </c>
    </row>
    <row r="12" customFormat="false" ht="15" hidden="false" customHeight="false" outlineLevel="0" collapsed="false">
      <c r="A12" s="4" t="n">
        <v>2</v>
      </c>
      <c r="B12" s="5" t="s">
        <v>16</v>
      </c>
      <c r="C12" s="5" t="s">
        <v>20</v>
      </c>
      <c r="D12" s="6"/>
      <c r="E12" s="7" t="n">
        <v>46337</v>
      </c>
      <c r="F12" s="8" t="s">
        <v>18</v>
      </c>
      <c r="G12" s="4" t="str">
        <f aca="true">IF(AND(E12&lt;TODAY(),F12&lt;&gt;"Done"),"Overdue","")</f>
        <v/>
      </c>
    </row>
    <row r="13" customFormat="false" ht="15" hidden="false" customHeight="false" outlineLevel="0" collapsed="false">
      <c r="A13" s="4" t="n">
        <v>2</v>
      </c>
      <c r="B13" s="5" t="s">
        <v>16</v>
      </c>
      <c r="C13" s="5" t="s">
        <v>21</v>
      </c>
      <c r="D13" s="6"/>
      <c r="E13" s="7" t="n">
        <v>46338</v>
      </c>
      <c r="F13" s="8" t="s">
        <v>22</v>
      </c>
      <c r="G13" s="4" t="str">
        <f aca="true">IF(AND(E13&lt;TODAY(),F13&lt;&gt;"Done"),"Overdue","")</f>
        <v/>
      </c>
    </row>
    <row r="14" customFormat="false" ht="15" hidden="false" customHeight="false" outlineLevel="0" collapsed="false">
      <c r="A14" s="4" t="n">
        <v>2</v>
      </c>
      <c r="B14" s="5" t="s">
        <v>16</v>
      </c>
      <c r="C14" s="5" t="s">
        <v>23</v>
      </c>
      <c r="D14" s="6"/>
      <c r="E14" s="7" t="n">
        <v>46339</v>
      </c>
      <c r="F14" s="8" t="s">
        <v>24</v>
      </c>
      <c r="G14" s="4" t="str">
        <f aca="true">IF(AND(E14&lt;TODAY(),F14&lt;&gt;"Done"),"Overdue","")</f>
        <v/>
      </c>
    </row>
    <row r="15" customFormat="false" ht="15" hidden="false" customHeight="false" outlineLevel="0" collapsed="false">
      <c r="A15" s="4" t="n">
        <v>2</v>
      </c>
      <c r="B15" s="5" t="s">
        <v>16</v>
      </c>
      <c r="C15" s="5" t="s">
        <v>25</v>
      </c>
      <c r="D15" s="6"/>
      <c r="E15" s="7" t="n">
        <v>46340</v>
      </c>
      <c r="F15" s="8" t="s">
        <v>22</v>
      </c>
      <c r="G15" s="4" t="str">
        <f aca="true">IF(AND(E15&lt;TODAY(),F15&lt;&gt;"Done"),"Overdue","")</f>
        <v/>
      </c>
    </row>
    <row r="16" customFormat="false" ht="15" hidden="false" customHeight="false" outlineLevel="0" collapsed="false">
      <c r="A16" s="4" t="n">
        <v>2</v>
      </c>
      <c r="B16" s="5" t="s">
        <v>16</v>
      </c>
      <c r="C16" s="5" t="s">
        <v>26</v>
      </c>
      <c r="D16" s="6"/>
      <c r="E16" s="7" t="n">
        <v>46341</v>
      </c>
      <c r="F16" s="8" t="s">
        <v>22</v>
      </c>
      <c r="G16" s="4" t="str">
        <f aca="true">IF(AND(E16&lt;TODAY(),F16&lt;&gt;"Done"),"Overdue","")</f>
        <v/>
      </c>
    </row>
    <row r="17" customFormat="false" ht="15" hidden="false" customHeight="false" outlineLevel="0" collapsed="false">
      <c r="A17" s="4" t="n">
        <v>2</v>
      </c>
      <c r="B17" s="5" t="s">
        <v>16</v>
      </c>
      <c r="C17" s="5" t="s">
        <v>27</v>
      </c>
      <c r="D17" s="6"/>
      <c r="E17" s="7" t="n">
        <v>46342</v>
      </c>
      <c r="F17" s="8" t="s">
        <v>22</v>
      </c>
      <c r="G17" s="4" t="str">
        <f aca="true">IF(AND(E17&lt;TODAY(),F17&lt;&gt;"Done"),"Overdue","")</f>
        <v/>
      </c>
    </row>
    <row r="18" customFormat="false" ht="15" hidden="false" customHeight="false" outlineLevel="0" collapsed="false">
      <c r="A18" s="4" t="n">
        <v>3</v>
      </c>
      <c r="B18" s="5" t="s">
        <v>28</v>
      </c>
      <c r="C18" s="5" t="s">
        <v>29</v>
      </c>
      <c r="D18" s="6"/>
      <c r="E18" s="7" t="n">
        <v>46342</v>
      </c>
      <c r="F18" s="8" t="s">
        <v>22</v>
      </c>
      <c r="G18" s="4" t="str">
        <f aca="true">IF(AND(E18&lt;TODAY(),F18&lt;&gt;"Done"),"Overdue","")</f>
        <v/>
      </c>
    </row>
    <row r="19" customFormat="false" ht="15" hidden="false" customHeight="false" outlineLevel="0" collapsed="false">
      <c r="A19" s="4" t="n">
        <v>3</v>
      </c>
      <c r="B19" s="5" t="s">
        <v>28</v>
      </c>
      <c r="C19" s="5" t="s">
        <v>30</v>
      </c>
      <c r="D19" s="6"/>
      <c r="E19" s="7" t="n">
        <v>46343</v>
      </c>
      <c r="F19" s="8" t="s">
        <v>22</v>
      </c>
      <c r="G19" s="4" t="str">
        <f aca="true">IF(AND(E19&lt;TODAY(),F19&lt;&gt;"Done"),"Overdue","")</f>
        <v/>
      </c>
    </row>
    <row r="20" customFormat="false" ht="15" hidden="false" customHeight="false" outlineLevel="0" collapsed="false">
      <c r="A20" s="4" t="n">
        <v>3</v>
      </c>
      <c r="B20" s="5" t="s">
        <v>28</v>
      </c>
      <c r="C20" s="5" t="s">
        <v>31</v>
      </c>
      <c r="D20" s="6"/>
      <c r="E20" s="7" t="n">
        <v>46344</v>
      </c>
      <c r="F20" s="8" t="s">
        <v>22</v>
      </c>
      <c r="G20" s="4" t="str">
        <f aca="true">IF(AND(E20&lt;TODAY(),F20&lt;&gt;"Done"),"Overdue","")</f>
        <v/>
      </c>
    </row>
    <row r="21" customFormat="false" ht="15" hidden="false" customHeight="false" outlineLevel="0" collapsed="false">
      <c r="A21" s="4" t="n">
        <v>3</v>
      </c>
      <c r="B21" s="5" t="s">
        <v>28</v>
      </c>
      <c r="C21" s="5" t="s">
        <v>32</v>
      </c>
      <c r="D21" s="6"/>
      <c r="E21" s="7" t="n">
        <v>46345</v>
      </c>
      <c r="F21" s="8" t="s">
        <v>22</v>
      </c>
      <c r="G21" s="4" t="str">
        <f aca="true">IF(AND(E21&lt;TODAY(),F21&lt;&gt;"Done"),"Overdue","")</f>
        <v/>
      </c>
    </row>
    <row r="22" customFormat="false" ht="15" hidden="false" customHeight="false" outlineLevel="0" collapsed="false">
      <c r="A22" s="4" t="n">
        <v>3</v>
      </c>
      <c r="B22" s="5" t="s">
        <v>28</v>
      </c>
      <c r="C22" s="5" t="s">
        <v>33</v>
      </c>
      <c r="D22" s="6"/>
      <c r="E22" s="7" t="n">
        <v>46346</v>
      </c>
      <c r="F22" s="8" t="s">
        <v>22</v>
      </c>
      <c r="G22" s="4" t="str">
        <f aca="true">IF(AND(E22&lt;TODAY(),F22&lt;&gt;"Done"),"Overdue","")</f>
        <v/>
      </c>
    </row>
    <row r="23" customFormat="false" ht="15" hidden="false" customHeight="false" outlineLevel="0" collapsed="false">
      <c r="A23" s="4" t="n">
        <v>3</v>
      </c>
      <c r="B23" s="5" t="s">
        <v>28</v>
      </c>
      <c r="C23" s="5" t="s">
        <v>34</v>
      </c>
      <c r="D23" s="6"/>
      <c r="E23" s="7" t="n">
        <v>46347</v>
      </c>
      <c r="F23" s="8" t="s">
        <v>22</v>
      </c>
      <c r="G23" s="4" t="str">
        <f aca="true">IF(AND(E23&lt;TODAY(),F23&lt;&gt;"Done"),"Overdue","")</f>
        <v/>
      </c>
    </row>
    <row r="24" customFormat="false" ht="15" hidden="false" customHeight="false" outlineLevel="0" collapsed="false">
      <c r="A24" s="4" t="n">
        <v>4</v>
      </c>
      <c r="B24" s="5" t="s">
        <v>35</v>
      </c>
      <c r="C24" s="5" t="s">
        <v>36</v>
      </c>
      <c r="D24" s="6"/>
      <c r="E24" s="7" t="n">
        <v>46349</v>
      </c>
      <c r="F24" s="8" t="s">
        <v>22</v>
      </c>
      <c r="G24" s="4" t="str">
        <f aca="true">IF(AND(E24&lt;TODAY(),F24&lt;&gt;"Done"),"Overdue","")</f>
        <v/>
      </c>
    </row>
    <row r="25" customFormat="false" ht="15" hidden="false" customHeight="false" outlineLevel="0" collapsed="false">
      <c r="A25" s="4" t="n">
        <v>4</v>
      </c>
      <c r="B25" s="5" t="s">
        <v>35</v>
      </c>
      <c r="C25" s="5" t="s">
        <v>37</v>
      </c>
      <c r="D25" s="6"/>
      <c r="E25" s="7" t="n">
        <v>46350</v>
      </c>
      <c r="F25" s="8" t="s">
        <v>22</v>
      </c>
      <c r="G25" s="4" t="str">
        <f aca="true">IF(AND(E25&lt;TODAY(),F25&lt;&gt;"Done"),"Overdue","")</f>
        <v/>
      </c>
    </row>
    <row r="26" customFormat="false" ht="15" hidden="false" customHeight="false" outlineLevel="0" collapsed="false">
      <c r="A26" s="4" t="n">
        <v>4</v>
      </c>
      <c r="B26" s="5" t="s">
        <v>35</v>
      </c>
      <c r="C26" s="5" t="s">
        <v>38</v>
      </c>
      <c r="D26" s="6"/>
      <c r="E26" s="7" t="n">
        <v>46351</v>
      </c>
      <c r="F26" s="8" t="s">
        <v>22</v>
      </c>
      <c r="G26" s="4" t="str">
        <f aca="true">IF(AND(E26&lt;TODAY(),F26&lt;&gt;"Done"),"Overdue","")</f>
        <v/>
      </c>
    </row>
    <row r="27" customFormat="false" ht="15" hidden="false" customHeight="false" outlineLevel="0" collapsed="false">
      <c r="A27" s="4" t="n">
        <v>4</v>
      </c>
      <c r="B27" s="5" t="s">
        <v>35</v>
      </c>
      <c r="C27" s="5" t="s">
        <v>39</v>
      </c>
      <c r="D27" s="6"/>
      <c r="E27" s="7" t="n">
        <v>46352</v>
      </c>
      <c r="F27" s="8" t="s">
        <v>22</v>
      </c>
      <c r="G27" s="4" t="str">
        <f aca="true">IF(AND(E27&lt;TODAY(),F27&lt;&gt;"Done"),"Overdue","")</f>
        <v/>
      </c>
    </row>
    <row r="28" customFormat="false" ht="15" hidden="false" customHeight="false" outlineLevel="0" collapsed="false">
      <c r="A28" s="4" t="n">
        <v>4</v>
      </c>
      <c r="B28" s="5" t="s">
        <v>35</v>
      </c>
      <c r="C28" s="5" t="s">
        <v>40</v>
      </c>
      <c r="D28" s="6"/>
      <c r="E28" s="7" t="n">
        <v>46353</v>
      </c>
      <c r="F28" s="8" t="s">
        <v>22</v>
      </c>
      <c r="G28" s="4" t="str">
        <f aca="true">IF(AND(E28&lt;TODAY(),F28&lt;&gt;"Done"),"Overdue","")</f>
        <v/>
      </c>
    </row>
    <row r="29" customFormat="false" ht="15" hidden="false" customHeight="false" outlineLevel="0" collapsed="false">
      <c r="A29" s="4" t="n">
        <v>4</v>
      </c>
      <c r="B29" s="5" t="s">
        <v>35</v>
      </c>
      <c r="C29" s="5" t="s">
        <v>41</v>
      </c>
      <c r="D29" s="6"/>
      <c r="E29" s="7" t="n">
        <v>46354</v>
      </c>
      <c r="F29" s="8" t="s">
        <v>22</v>
      </c>
      <c r="G29" s="4" t="str">
        <f aca="true">IF(AND(E29&lt;TODAY(),F29&lt;&gt;"Done"),"Overdue","")</f>
        <v/>
      </c>
    </row>
    <row r="30" customFormat="false" ht="15" hidden="false" customHeight="false" outlineLevel="0" collapsed="false">
      <c r="A30" s="4" t="n">
        <v>5</v>
      </c>
      <c r="B30" s="5" t="s">
        <v>42</v>
      </c>
      <c r="C30" s="5" t="s">
        <v>43</v>
      </c>
      <c r="D30" s="6"/>
      <c r="E30" s="7" t="n">
        <v>46356</v>
      </c>
      <c r="F30" s="8" t="s">
        <v>22</v>
      </c>
      <c r="G30" s="4" t="str">
        <f aca="true">IF(AND(E30&lt;TODAY(),F30&lt;&gt;"Done"),"Overdue","")</f>
        <v/>
      </c>
    </row>
    <row r="31" customFormat="false" ht="15" hidden="false" customHeight="false" outlineLevel="0" collapsed="false">
      <c r="A31" s="4" t="n">
        <v>5</v>
      </c>
      <c r="B31" s="5" t="s">
        <v>42</v>
      </c>
      <c r="C31" s="5" t="s">
        <v>44</v>
      </c>
      <c r="D31" s="6"/>
      <c r="E31" s="7" t="n">
        <v>46357</v>
      </c>
      <c r="F31" s="8" t="s">
        <v>22</v>
      </c>
      <c r="G31" s="4" t="str">
        <f aca="true">IF(AND(E31&lt;TODAY(),F31&lt;&gt;"Done"),"Overdue","")</f>
        <v/>
      </c>
    </row>
    <row r="32" customFormat="false" ht="15" hidden="false" customHeight="false" outlineLevel="0" collapsed="false">
      <c r="A32" s="4" t="n">
        <v>5</v>
      </c>
      <c r="B32" s="5" t="s">
        <v>42</v>
      </c>
      <c r="C32" s="5" t="s">
        <v>45</v>
      </c>
      <c r="D32" s="6"/>
      <c r="E32" s="7" t="n">
        <v>46358</v>
      </c>
      <c r="F32" s="8" t="s">
        <v>22</v>
      </c>
      <c r="G32" s="4" t="str">
        <f aca="true">IF(AND(E32&lt;TODAY(),F32&lt;&gt;"Done"),"Overdue","")</f>
        <v/>
      </c>
    </row>
    <row r="33" customFormat="false" ht="15" hidden="false" customHeight="false" outlineLevel="0" collapsed="false">
      <c r="A33" s="4" t="n">
        <v>5</v>
      </c>
      <c r="B33" s="5" t="s">
        <v>42</v>
      </c>
      <c r="C33" s="5" t="s">
        <v>46</v>
      </c>
      <c r="D33" s="6"/>
      <c r="E33" s="7" t="n">
        <v>46359</v>
      </c>
      <c r="F33" s="8" t="s">
        <v>22</v>
      </c>
      <c r="G33" s="4" t="str">
        <f aca="true">IF(AND(E33&lt;TODAY(),F33&lt;&gt;"Done"),"Overdue","")</f>
        <v/>
      </c>
    </row>
    <row r="34" customFormat="false" ht="15" hidden="false" customHeight="false" outlineLevel="0" collapsed="false">
      <c r="A34" s="4" t="n">
        <v>5</v>
      </c>
      <c r="B34" s="5" t="s">
        <v>42</v>
      </c>
      <c r="C34" s="5" t="s">
        <v>47</v>
      </c>
      <c r="D34" s="6"/>
      <c r="E34" s="7" t="n">
        <v>46360</v>
      </c>
      <c r="F34" s="8" t="s">
        <v>22</v>
      </c>
      <c r="G34" s="4" t="str">
        <f aca="true">IF(AND(E34&lt;TODAY(),F34&lt;&gt;"Done"),"Overdue","")</f>
        <v/>
      </c>
    </row>
    <row r="35" customFormat="false" ht="15" hidden="false" customHeight="false" outlineLevel="0" collapsed="false">
      <c r="A35" s="4" t="n">
        <v>5</v>
      </c>
      <c r="B35" s="5" t="s">
        <v>42</v>
      </c>
      <c r="C35" s="5" t="s">
        <v>48</v>
      </c>
      <c r="D35" s="6"/>
      <c r="E35" s="7" t="n">
        <v>46361</v>
      </c>
      <c r="F35" s="8" t="s">
        <v>22</v>
      </c>
      <c r="G35" s="4" t="str">
        <f aca="true">IF(AND(E35&lt;TODAY(),F35&lt;&gt;"Done"),"Overdue","")</f>
        <v/>
      </c>
    </row>
    <row r="36" customFormat="false" ht="29.85" hidden="false" customHeight="false" outlineLevel="0" collapsed="false">
      <c r="A36" s="4" t="n">
        <v>6</v>
      </c>
      <c r="B36" s="5" t="s">
        <v>49</v>
      </c>
      <c r="C36" s="5" t="s">
        <v>50</v>
      </c>
      <c r="D36" s="6"/>
      <c r="E36" s="7" t="n">
        <v>46363</v>
      </c>
      <c r="F36" s="8" t="s">
        <v>22</v>
      </c>
      <c r="G36" s="4" t="str">
        <f aca="true">IF(AND(E36&lt;TODAY(),F36&lt;&gt;"Done"),"Overdue","")</f>
        <v/>
      </c>
    </row>
    <row r="37" customFormat="false" ht="29.85" hidden="false" customHeight="false" outlineLevel="0" collapsed="false">
      <c r="A37" s="4" t="n">
        <v>6</v>
      </c>
      <c r="B37" s="5" t="s">
        <v>49</v>
      </c>
      <c r="C37" s="5" t="s">
        <v>51</v>
      </c>
      <c r="D37" s="6"/>
      <c r="E37" s="7" t="n">
        <v>46364</v>
      </c>
      <c r="F37" s="8" t="s">
        <v>22</v>
      </c>
      <c r="G37" s="4" t="str">
        <f aca="true">IF(AND(E37&lt;TODAY(),F37&lt;&gt;"Done"),"Overdue","")</f>
        <v/>
      </c>
    </row>
    <row r="38" customFormat="false" ht="29.85" hidden="false" customHeight="false" outlineLevel="0" collapsed="false">
      <c r="A38" s="4" t="n">
        <v>6</v>
      </c>
      <c r="B38" s="5" t="s">
        <v>49</v>
      </c>
      <c r="C38" s="5" t="s">
        <v>52</v>
      </c>
      <c r="D38" s="6"/>
      <c r="E38" s="7" t="n">
        <v>46365</v>
      </c>
      <c r="F38" s="8" t="s">
        <v>22</v>
      </c>
      <c r="G38" s="4" t="str">
        <f aca="true">IF(AND(E38&lt;TODAY(),F38&lt;&gt;"Done"),"Overdue","")</f>
        <v/>
      </c>
    </row>
    <row r="39" customFormat="false" ht="29.85" hidden="false" customHeight="false" outlineLevel="0" collapsed="false">
      <c r="A39" s="4" t="n">
        <v>6</v>
      </c>
      <c r="B39" s="5" t="s">
        <v>49</v>
      </c>
      <c r="C39" s="5" t="s">
        <v>53</v>
      </c>
      <c r="D39" s="6"/>
      <c r="E39" s="7" t="n">
        <v>46366</v>
      </c>
      <c r="F39" s="8" t="s">
        <v>22</v>
      </c>
      <c r="G39" s="4" t="str">
        <f aca="true">IF(AND(E39&lt;TODAY(),F39&lt;&gt;"Done"),"Overdue","")</f>
        <v/>
      </c>
    </row>
    <row r="40" customFormat="false" ht="29.85" hidden="false" customHeight="false" outlineLevel="0" collapsed="false">
      <c r="A40" s="4" t="n">
        <v>6</v>
      </c>
      <c r="B40" s="5" t="s">
        <v>49</v>
      </c>
      <c r="C40" s="5" t="s">
        <v>54</v>
      </c>
      <c r="D40" s="6"/>
      <c r="E40" s="7" t="n">
        <v>46367</v>
      </c>
      <c r="F40" s="8" t="s">
        <v>22</v>
      </c>
      <c r="G40" s="4" t="str">
        <f aca="true">IF(AND(E40&lt;TODAY(),F40&lt;&gt;"Done"),"Overdue","")</f>
        <v/>
      </c>
    </row>
    <row r="41" customFormat="false" ht="29.85" hidden="false" customHeight="false" outlineLevel="0" collapsed="false">
      <c r="A41" s="4" t="n">
        <v>6</v>
      </c>
      <c r="B41" s="5" t="s">
        <v>49</v>
      </c>
      <c r="C41" s="5" t="s">
        <v>55</v>
      </c>
      <c r="D41" s="6"/>
      <c r="E41" s="7" t="n">
        <v>46368</v>
      </c>
      <c r="F41" s="8" t="s">
        <v>22</v>
      </c>
      <c r="G41" s="4" t="str">
        <f aca="true">IF(AND(E41&lt;TODAY(),F41&lt;&gt;"Done"),"Overdue","")</f>
        <v/>
      </c>
    </row>
    <row r="42" customFormat="false" ht="15" hidden="false" customHeight="false" outlineLevel="0" collapsed="false">
      <c r="A42" s="4" t="n">
        <v>7</v>
      </c>
      <c r="B42" s="5" t="s">
        <v>56</v>
      </c>
      <c r="C42" s="5" t="s">
        <v>57</v>
      </c>
      <c r="D42" s="6"/>
      <c r="E42" s="7" t="n">
        <v>46370</v>
      </c>
      <c r="F42" s="8" t="s">
        <v>22</v>
      </c>
      <c r="G42" s="4" t="str">
        <f aca="true">IF(AND(E42&lt;TODAY(),F42&lt;&gt;"Done"),"Overdue","")</f>
        <v/>
      </c>
    </row>
    <row r="43" customFormat="false" ht="15" hidden="false" customHeight="false" outlineLevel="0" collapsed="false">
      <c r="A43" s="4" t="n">
        <v>7</v>
      </c>
      <c r="B43" s="5" t="s">
        <v>56</v>
      </c>
      <c r="C43" s="5" t="s">
        <v>58</v>
      </c>
      <c r="D43" s="6"/>
      <c r="E43" s="7" t="n">
        <v>46371</v>
      </c>
      <c r="F43" s="8" t="s">
        <v>22</v>
      </c>
      <c r="G43" s="4" t="str">
        <f aca="true">IF(AND(E43&lt;TODAY(),F43&lt;&gt;"Done"),"Overdue","")</f>
        <v/>
      </c>
    </row>
    <row r="44" customFormat="false" ht="15" hidden="false" customHeight="false" outlineLevel="0" collapsed="false">
      <c r="A44" s="4" t="n">
        <v>7</v>
      </c>
      <c r="B44" s="5" t="s">
        <v>56</v>
      </c>
      <c r="C44" s="5" t="s">
        <v>59</v>
      </c>
      <c r="D44" s="6"/>
      <c r="E44" s="7" t="n">
        <v>46372</v>
      </c>
      <c r="F44" s="8" t="s">
        <v>22</v>
      </c>
      <c r="G44" s="4" t="str">
        <f aca="true">IF(AND(E44&lt;TODAY(),F44&lt;&gt;"Done"),"Overdue","")</f>
        <v/>
      </c>
    </row>
    <row r="45" customFormat="false" ht="15" hidden="false" customHeight="false" outlineLevel="0" collapsed="false">
      <c r="A45" s="4" t="n">
        <v>7</v>
      </c>
      <c r="B45" s="5" t="s">
        <v>56</v>
      </c>
      <c r="C45" s="5" t="s">
        <v>27</v>
      </c>
      <c r="D45" s="6"/>
      <c r="E45" s="7" t="n">
        <v>46373</v>
      </c>
      <c r="F45" s="8" t="s">
        <v>22</v>
      </c>
      <c r="G45" s="4" t="str">
        <f aca="true">IF(AND(E45&lt;TODAY(),F45&lt;&gt;"Done"),"Overdue","")</f>
        <v/>
      </c>
    </row>
    <row r="46" customFormat="false" ht="15" hidden="false" customHeight="false" outlineLevel="0" collapsed="false">
      <c r="A46" s="4" t="n">
        <v>7</v>
      </c>
      <c r="B46" s="5" t="s">
        <v>56</v>
      </c>
      <c r="C46" s="5" t="s">
        <v>60</v>
      </c>
      <c r="D46" s="6"/>
      <c r="E46" s="7" t="n">
        <v>46374</v>
      </c>
      <c r="F46" s="8" t="s">
        <v>22</v>
      </c>
      <c r="G46" s="4" t="str">
        <f aca="true">IF(AND(E46&lt;TODAY(),F46&lt;&gt;"Done"),"Overdue","")</f>
        <v/>
      </c>
    </row>
    <row r="47" customFormat="false" ht="15" hidden="false" customHeight="false" outlineLevel="0" collapsed="false">
      <c r="A47" s="4" t="n">
        <v>7</v>
      </c>
      <c r="B47" s="5" t="s">
        <v>56</v>
      </c>
      <c r="C47" s="5" t="s">
        <v>61</v>
      </c>
      <c r="D47" s="6"/>
      <c r="E47" s="7" t="n">
        <v>46375</v>
      </c>
      <c r="F47" s="8" t="s">
        <v>22</v>
      </c>
      <c r="G47" s="4" t="str">
        <f aca="true">IF(AND(E47&lt;TODAY(),F47&lt;&gt;"Done"),"Overdue","")</f>
        <v/>
      </c>
    </row>
    <row r="48" customFormat="false" ht="15" hidden="false" customHeight="false" outlineLevel="0" collapsed="false">
      <c r="A48" s="4" t="n">
        <v>8</v>
      </c>
      <c r="B48" s="5" t="s">
        <v>62</v>
      </c>
      <c r="C48" s="5" t="s">
        <v>63</v>
      </c>
      <c r="D48" s="6"/>
      <c r="E48" s="7" t="n">
        <v>46377</v>
      </c>
      <c r="F48" s="8" t="s">
        <v>22</v>
      </c>
      <c r="G48" s="4" t="str">
        <f aca="true">IF(AND(E48&lt;TODAY(),F48&lt;&gt;"Done"),"Overdue","")</f>
        <v/>
      </c>
    </row>
    <row r="49" customFormat="false" ht="15" hidden="false" customHeight="false" outlineLevel="0" collapsed="false">
      <c r="A49" s="4" t="n">
        <v>8</v>
      </c>
      <c r="B49" s="5" t="s">
        <v>62</v>
      </c>
      <c r="C49" s="5" t="s">
        <v>64</v>
      </c>
      <c r="D49" s="6"/>
      <c r="E49" s="7" t="n">
        <v>46378</v>
      </c>
      <c r="F49" s="8" t="s">
        <v>22</v>
      </c>
      <c r="G49" s="4" t="str">
        <f aca="true">IF(AND(E49&lt;TODAY(),F49&lt;&gt;"Done"),"Overdue","")</f>
        <v/>
      </c>
    </row>
    <row r="50" customFormat="false" ht="15" hidden="false" customHeight="false" outlineLevel="0" collapsed="false">
      <c r="A50" s="4" t="n">
        <v>8</v>
      </c>
      <c r="B50" s="5" t="s">
        <v>62</v>
      </c>
      <c r="C50" s="5" t="s">
        <v>65</v>
      </c>
      <c r="D50" s="6"/>
      <c r="E50" s="7" t="n">
        <v>46379</v>
      </c>
      <c r="F50" s="8" t="s">
        <v>22</v>
      </c>
      <c r="G50" s="4" t="str">
        <f aca="true">IF(AND(E50&lt;TODAY(),F50&lt;&gt;"Done"),"Overdue","")</f>
        <v/>
      </c>
    </row>
    <row r="51" customFormat="false" ht="15" hidden="false" customHeight="false" outlineLevel="0" collapsed="false">
      <c r="A51" s="4" t="n">
        <v>8</v>
      </c>
      <c r="B51" s="5" t="s">
        <v>62</v>
      </c>
      <c r="C51" s="5" t="s">
        <v>66</v>
      </c>
      <c r="D51" s="6"/>
      <c r="E51" s="7" t="n">
        <v>46380</v>
      </c>
      <c r="F51" s="8" t="s">
        <v>22</v>
      </c>
      <c r="G51" s="4" t="str">
        <f aca="true">IF(AND(E51&lt;TODAY(),F51&lt;&gt;"Done"),"Overdue","")</f>
        <v/>
      </c>
    </row>
    <row r="52" customFormat="false" ht="15" hidden="false" customHeight="false" outlineLevel="0" collapsed="false">
      <c r="A52" s="4" t="n">
        <v>8</v>
      </c>
      <c r="B52" s="5" t="s">
        <v>62</v>
      </c>
      <c r="C52" s="5" t="s">
        <v>67</v>
      </c>
      <c r="D52" s="6"/>
      <c r="E52" s="7" t="n">
        <v>46381</v>
      </c>
      <c r="F52" s="8" t="s">
        <v>22</v>
      </c>
      <c r="G52" s="4" t="str">
        <f aca="true">IF(AND(E52&lt;TODAY(),F52&lt;&gt;"Done"),"Overdue","")</f>
        <v/>
      </c>
    </row>
    <row r="53" customFormat="false" ht="15" hidden="false" customHeight="false" outlineLevel="0" collapsed="false">
      <c r="A53" s="4" t="n">
        <v>8</v>
      </c>
      <c r="B53" s="5" t="s">
        <v>62</v>
      </c>
      <c r="C53" s="5" t="s">
        <v>68</v>
      </c>
      <c r="D53" s="6"/>
      <c r="E53" s="7" t="n">
        <v>46382</v>
      </c>
      <c r="F53" s="8" t="s">
        <v>22</v>
      </c>
      <c r="G53" s="4" t="str">
        <f aca="true">IF(AND(E53&lt;TODAY(),F53&lt;&gt;"Done"),"Overdue","")</f>
        <v/>
      </c>
    </row>
    <row r="54" customFormat="false" ht="15" hidden="false" customHeight="false" outlineLevel="0" collapsed="false">
      <c r="A54" s="4" t="n">
        <v>9</v>
      </c>
      <c r="B54" s="5" t="s">
        <v>69</v>
      </c>
      <c r="C54" s="5" t="s">
        <v>70</v>
      </c>
      <c r="D54" s="6"/>
      <c r="E54" s="7" t="n">
        <v>46384</v>
      </c>
      <c r="F54" s="8" t="s">
        <v>22</v>
      </c>
      <c r="G54" s="4" t="str">
        <f aca="true">IF(AND(E54&lt;TODAY(),F54&lt;&gt;"Done"),"Overdue","")</f>
        <v/>
      </c>
    </row>
    <row r="55" customFormat="false" ht="15" hidden="false" customHeight="false" outlineLevel="0" collapsed="false">
      <c r="A55" s="4" t="n">
        <v>9</v>
      </c>
      <c r="B55" s="5" t="s">
        <v>69</v>
      </c>
      <c r="C55" s="5" t="s">
        <v>71</v>
      </c>
      <c r="D55" s="6"/>
      <c r="E55" s="7" t="n">
        <v>46385</v>
      </c>
      <c r="F55" s="8" t="s">
        <v>22</v>
      </c>
      <c r="G55" s="4" t="str">
        <f aca="true">IF(AND(E55&lt;TODAY(),F55&lt;&gt;"Done"),"Overdue","")</f>
        <v/>
      </c>
    </row>
    <row r="56" customFormat="false" ht="15" hidden="false" customHeight="false" outlineLevel="0" collapsed="false">
      <c r="A56" s="4" t="n">
        <v>9</v>
      </c>
      <c r="B56" s="5" t="s">
        <v>69</v>
      </c>
      <c r="C56" s="5" t="s">
        <v>72</v>
      </c>
      <c r="D56" s="6"/>
      <c r="E56" s="7" t="n">
        <v>46386</v>
      </c>
      <c r="F56" s="8" t="s">
        <v>22</v>
      </c>
      <c r="G56" s="4" t="str">
        <f aca="true">IF(AND(E56&lt;TODAY(),F56&lt;&gt;"Done"),"Overdue","")</f>
        <v/>
      </c>
    </row>
    <row r="57" customFormat="false" ht="15" hidden="false" customHeight="false" outlineLevel="0" collapsed="false">
      <c r="A57" s="4" t="n">
        <v>9</v>
      </c>
      <c r="B57" s="5" t="s">
        <v>69</v>
      </c>
      <c r="C57" s="5" t="s">
        <v>73</v>
      </c>
      <c r="D57" s="6"/>
      <c r="E57" s="7" t="n">
        <v>46387</v>
      </c>
      <c r="F57" s="8" t="s">
        <v>22</v>
      </c>
      <c r="G57" s="4" t="str">
        <f aca="true">IF(AND(E57&lt;TODAY(),F57&lt;&gt;"Done"),"Overdue","")</f>
        <v/>
      </c>
    </row>
    <row r="58" customFormat="false" ht="15" hidden="false" customHeight="false" outlineLevel="0" collapsed="false">
      <c r="A58" s="4" t="n">
        <v>9</v>
      </c>
      <c r="B58" s="5" t="s">
        <v>69</v>
      </c>
      <c r="C58" s="5" t="s">
        <v>74</v>
      </c>
      <c r="D58" s="6"/>
      <c r="E58" s="7" t="n">
        <v>46388</v>
      </c>
      <c r="F58" s="8" t="s">
        <v>22</v>
      </c>
      <c r="G58" s="4" t="str">
        <f aca="true">IF(AND(E58&lt;TODAY(),F58&lt;&gt;"Done"),"Overdue","")</f>
        <v/>
      </c>
    </row>
    <row r="59" customFormat="false" ht="15" hidden="false" customHeight="false" outlineLevel="0" collapsed="false">
      <c r="A59" s="4" t="n">
        <v>9</v>
      </c>
      <c r="B59" s="5" t="s">
        <v>69</v>
      </c>
      <c r="C59" s="5" t="s">
        <v>75</v>
      </c>
      <c r="D59" s="6"/>
      <c r="E59" s="7" t="n">
        <v>46389</v>
      </c>
      <c r="F59" s="8" t="s">
        <v>22</v>
      </c>
      <c r="G59" s="4" t="str">
        <f aca="true">IF(AND(E59&lt;TODAY(),F59&lt;&gt;"Done"),"Overdue","")</f>
        <v/>
      </c>
    </row>
    <row r="60" customFormat="false" ht="15" hidden="false" customHeight="false" outlineLevel="0" collapsed="false">
      <c r="A60" s="4" t="n">
        <v>10</v>
      </c>
      <c r="B60" s="5" t="s">
        <v>76</v>
      </c>
      <c r="C60" s="5" t="s">
        <v>77</v>
      </c>
      <c r="D60" s="6"/>
      <c r="E60" s="7" t="n">
        <v>46391</v>
      </c>
      <c r="F60" s="8" t="s">
        <v>22</v>
      </c>
      <c r="G60" s="4" t="str">
        <f aca="true">IF(AND(E60&lt;TODAY(),F60&lt;&gt;"Done"),"Overdue","")</f>
        <v/>
      </c>
    </row>
    <row r="61" customFormat="false" ht="15" hidden="false" customHeight="false" outlineLevel="0" collapsed="false">
      <c r="A61" s="4" t="n">
        <v>10</v>
      </c>
      <c r="B61" s="5" t="s">
        <v>76</v>
      </c>
      <c r="C61" s="5" t="s">
        <v>78</v>
      </c>
      <c r="D61" s="6"/>
      <c r="E61" s="7" t="n">
        <v>46392</v>
      </c>
      <c r="F61" s="8" t="s">
        <v>22</v>
      </c>
      <c r="G61" s="4" t="str">
        <f aca="true">IF(AND(E61&lt;TODAY(),F61&lt;&gt;"Done"),"Overdue","")</f>
        <v/>
      </c>
    </row>
    <row r="62" customFormat="false" ht="15" hidden="false" customHeight="false" outlineLevel="0" collapsed="false">
      <c r="A62" s="4" t="n">
        <v>10</v>
      </c>
      <c r="B62" s="5" t="s">
        <v>76</v>
      </c>
      <c r="C62" s="5" t="s">
        <v>79</v>
      </c>
      <c r="D62" s="6"/>
      <c r="E62" s="7" t="n">
        <v>46393</v>
      </c>
      <c r="F62" s="8" t="s">
        <v>22</v>
      </c>
      <c r="G62" s="4" t="str">
        <f aca="true">IF(AND(E62&lt;TODAY(),F62&lt;&gt;"Done"),"Overdue","")</f>
        <v/>
      </c>
    </row>
    <row r="63" customFormat="false" ht="15" hidden="false" customHeight="false" outlineLevel="0" collapsed="false">
      <c r="A63" s="4" t="n">
        <v>10</v>
      </c>
      <c r="B63" s="5" t="s">
        <v>76</v>
      </c>
      <c r="C63" s="5" t="s">
        <v>80</v>
      </c>
      <c r="D63" s="6"/>
      <c r="E63" s="7" t="n">
        <v>46394</v>
      </c>
      <c r="F63" s="8" t="s">
        <v>22</v>
      </c>
      <c r="G63" s="4" t="str">
        <f aca="true">IF(AND(E63&lt;TODAY(),F63&lt;&gt;"Done"),"Overdue","")</f>
        <v/>
      </c>
    </row>
    <row r="64" customFormat="false" ht="15" hidden="false" customHeight="false" outlineLevel="0" collapsed="false">
      <c r="A64" s="4" t="n">
        <v>10</v>
      </c>
      <c r="B64" s="5" t="s">
        <v>76</v>
      </c>
      <c r="C64" s="5" t="s">
        <v>81</v>
      </c>
      <c r="D64" s="6"/>
      <c r="E64" s="7" t="n">
        <v>46395</v>
      </c>
      <c r="F64" s="8" t="s">
        <v>22</v>
      </c>
      <c r="G64" s="4" t="str">
        <f aca="true">IF(AND(E64&lt;TODAY(),F64&lt;&gt;"Done"),"Overdue","")</f>
        <v/>
      </c>
    </row>
    <row r="65" customFormat="false" ht="15" hidden="false" customHeight="false" outlineLevel="0" collapsed="false">
      <c r="A65" s="4" t="n">
        <v>10</v>
      </c>
      <c r="B65" s="5" t="s">
        <v>76</v>
      </c>
      <c r="C65" s="5" t="s">
        <v>82</v>
      </c>
      <c r="D65" s="6"/>
      <c r="E65" s="7" t="n">
        <v>46396</v>
      </c>
      <c r="F65" s="8" t="s">
        <v>22</v>
      </c>
      <c r="G65" s="4" t="str">
        <f aca="true">IF(AND(E65&lt;TODAY(),F65&lt;&gt;"Done"),"Overdue","")</f>
        <v/>
      </c>
    </row>
    <row r="66" customFormat="false" ht="15" hidden="false" customHeight="false" outlineLevel="0" collapsed="false">
      <c r="A66" s="4" t="n">
        <v>11</v>
      </c>
      <c r="B66" s="5" t="s">
        <v>83</v>
      </c>
      <c r="C66" s="5" t="s">
        <v>84</v>
      </c>
      <c r="D66" s="6"/>
      <c r="E66" s="7" t="n">
        <v>46398</v>
      </c>
      <c r="F66" s="8" t="s">
        <v>22</v>
      </c>
      <c r="G66" s="4" t="str">
        <f aca="true">IF(AND(E66&lt;TODAY(),F66&lt;&gt;"Done"),"Overdue","")</f>
        <v/>
      </c>
    </row>
    <row r="67" customFormat="false" ht="15" hidden="false" customHeight="false" outlineLevel="0" collapsed="false">
      <c r="A67" s="4" t="n">
        <v>11</v>
      </c>
      <c r="B67" s="5" t="s">
        <v>83</v>
      </c>
      <c r="C67" s="5" t="s">
        <v>85</v>
      </c>
      <c r="D67" s="6"/>
      <c r="E67" s="7" t="n">
        <v>46399</v>
      </c>
      <c r="F67" s="8" t="s">
        <v>22</v>
      </c>
      <c r="G67" s="4" t="str">
        <f aca="true">IF(AND(E67&lt;TODAY(),F67&lt;&gt;"Done"),"Overdue","")</f>
        <v/>
      </c>
    </row>
    <row r="68" customFormat="false" ht="15" hidden="false" customHeight="false" outlineLevel="0" collapsed="false">
      <c r="A68" s="4" t="n">
        <v>11</v>
      </c>
      <c r="B68" s="5" t="s">
        <v>83</v>
      </c>
      <c r="C68" s="5" t="s">
        <v>86</v>
      </c>
      <c r="D68" s="6"/>
      <c r="E68" s="7" t="n">
        <v>46400</v>
      </c>
      <c r="F68" s="8" t="s">
        <v>22</v>
      </c>
      <c r="G68" s="4" t="str">
        <f aca="true">IF(AND(E68&lt;TODAY(),F68&lt;&gt;"Done"),"Overdue","")</f>
        <v/>
      </c>
    </row>
    <row r="69" customFormat="false" ht="15" hidden="false" customHeight="false" outlineLevel="0" collapsed="false">
      <c r="A69" s="4" t="n">
        <v>11</v>
      </c>
      <c r="B69" s="5" t="s">
        <v>83</v>
      </c>
      <c r="C69" s="5" t="s">
        <v>87</v>
      </c>
      <c r="D69" s="6"/>
      <c r="E69" s="7" t="n">
        <v>46401</v>
      </c>
      <c r="F69" s="8" t="s">
        <v>22</v>
      </c>
      <c r="G69" s="4" t="str">
        <f aca="true">IF(AND(E69&lt;TODAY(),F69&lt;&gt;"Done"),"Overdue","")</f>
        <v/>
      </c>
    </row>
    <row r="70" customFormat="false" ht="15" hidden="false" customHeight="false" outlineLevel="0" collapsed="false">
      <c r="A70" s="4" t="n">
        <v>11</v>
      </c>
      <c r="B70" s="5" t="s">
        <v>83</v>
      </c>
      <c r="C70" s="5" t="s">
        <v>88</v>
      </c>
      <c r="D70" s="6"/>
      <c r="E70" s="7" t="n">
        <v>46402</v>
      </c>
      <c r="F70" s="8" t="s">
        <v>22</v>
      </c>
      <c r="G70" s="4" t="str">
        <f aca="true">IF(AND(E70&lt;TODAY(),F70&lt;&gt;"Done"),"Overdue","")</f>
        <v/>
      </c>
    </row>
    <row r="71" customFormat="false" ht="15" hidden="false" customHeight="false" outlineLevel="0" collapsed="false">
      <c r="A71" s="4" t="n">
        <v>11</v>
      </c>
      <c r="B71" s="5" t="s">
        <v>83</v>
      </c>
      <c r="C71" s="5" t="s">
        <v>89</v>
      </c>
      <c r="D71" s="6"/>
      <c r="E71" s="7" t="n">
        <v>46403</v>
      </c>
      <c r="F71" s="8" t="s">
        <v>22</v>
      </c>
      <c r="G71" s="4" t="str">
        <f aca="true">IF(AND(E71&lt;TODAY(),F71&lt;&gt;"Done"),"Overdue","")</f>
        <v/>
      </c>
    </row>
    <row r="72" customFormat="false" ht="29.85" hidden="false" customHeight="false" outlineLevel="0" collapsed="false">
      <c r="A72" s="4" t="n">
        <v>12</v>
      </c>
      <c r="B72" s="5" t="s">
        <v>90</v>
      </c>
      <c r="C72" s="5" t="s">
        <v>91</v>
      </c>
      <c r="D72" s="6"/>
      <c r="E72" s="7" t="n">
        <v>46405</v>
      </c>
      <c r="F72" s="8" t="s">
        <v>22</v>
      </c>
      <c r="G72" s="4" t="str">
        <f aca="true">IF(AND(E72&lt;TODAY(),F72&lt;&gt;"Done"),"Overdue","")</f>
        <v/>
      </c>
    </row>
    <row r="73" customFormat="false" ht="29.85" hidden="false" customHeight="false" outlineLevel="0" collapsed="false">
      <c r="A73" s="4" t="n">
        <v>12</v>
      </c>
      <c r="B73" s="5" t="s">
        <v>90</v>
      </c>
      <c r="C73" s="5" t="s">
        <v>92</v>
      </c>
      <c r="D73" s="6"/>
      <c r="E73" s="7" t="n">
        <v>46406</v>
      </c>
      <c r="F73" s="8" t="s">
        <v>22</v>
      </c>
      <c r="G73" s="4" t="str">
        <f aca="true">IF(AND(E73&lt;TODAY(),F73&lt;&gt;"Done"),"Overdue","")</f>
        <v/>
      </c>
    </row>
    <row r="74" customFormat="false" ht="29.85" hidden="false" customHeight="false" outlineLevel="0" collapsed="false">
      <c r="A74" s="4" t="n">
        <v>12</v>
      </c>
      <c r="B74" s="5" t="s">
        <v>90</v>
      </c>
      <c r="C74" s="5" t="s">
        <v>81</v>
      </c>
      <c r="D74" s="6"/>
      <c r="E74" s="7" t="n">
        <v>46407</v>
      </c>
      <c r="F74" s="8" t="s">
        <v>22</v>
      </c>
      <c r="G74" s="4" t="str">
        <f aca="true">IF(AND(E74&lt;TODAY(),F74&lt;&gt;"Done"),"Overdue","")</f>
        <v/>
      </c>
    </row>
    <row r="75" customFormat="false" ht="29.85" hidden="false" customHeight="false" outlineLevel="0" collapsed="false">
      <c r="A75" s="4" t="n">
        <v>12</v>
      </c>
      <c r="B75" s="5" t="s">
        <v>90</v>
      </c>
      <c r="C75" s="5" t="s">
        <v>93</v>
      </c>
      <c r="D75" s="6"/>
      <c r="E75" s="7" t="n">
        <v>46408</v>
      </c>
      <c r="F75" s="8" t="s">
        <v>22</v>
      </c>
      <c r="G75" s="4" t="str">
        <f aca="true">IF(AND(E75&lt;TODAY(),F75&lt;&gt;"Done"),"Overdue","")</f>
        <v/>
      </c>
    </row>
    <row r="76" customFormat="false" ht="29.85" hidden="false" customHeight="false" outlineLevel="0" collapsed="false">
      <c r="A76" s="4" t="n">
        <v>12</v>
      </c>
      <c r="B76" s="5" t="s">
        <v>90</v>
      </c>
      <c r="C76" s="5" t="s">
        <v>94</v>
      </c>
      <c r="D76" s="6"/>
      <c r="E76" s="7" t="n">
        <v>46409</v>
      </c>
      <c r="F76" s="8" t="s">
        <v>22</v>
      </c>
      <c r="G76" s="4" t="str">
        <f aca="true">IF(AND(E76&lt;TODAY(),F76&lt;&gt;"Done"),"Overdue","")</f>
        <v/>
      </c>
    </row>
    <row r="77" customFormat="false" ht="29.85" hidden="false" customHeight="false" outlineLevel="0" collapsed="false">
      <c r="A77" s="4" t="n">
        <v>12</v>
      </c>
      <c r="B77" s="5" t="s">
        <v>90</v>
      </c>
      <c r="C77" s="5" t="s">
        <v>95</v>
      </c>
      <c r="D77" s="6"/>
      <c r="E77" s="7" t="n">
        <v>46410</v>
      </c>
      <c r="F77" s="8" t="s">
        <v>22</v>
      </c>
      <c r="G77" s="4" t="str">
        <f aca="true">IF(AND(E77&lt;TODAY(),F77&lt;&gt;"Done"),"Overdue","")</f>
        <v/>
      </c>
    </row>
    <row r="78" customFormat="false" ht="29.85" hidden="false" customHeight="false" outlineLevel="0" collapsed="false">
      <c r="A78" s="4" t="n">
        <v>12</v>
      </c>
      <c r="B78" s="5" t="s">
        <v>90</v>
      </c>
      <c r="C78" s="5" t="s">
        <v>96</v>
      </c>
      <c r="D78" s="6"/>
      <c r="E78" s="7" t="n">
        <v>46411</v>
      </c>
      <c r="F78" s="8" t="s">
        <v>22</v>
      </c>
      <c r="G78" s="4" t="str">
        <f aca="true">IF(AND(E78&lt;TODAY(),F78&lt;&gt;"Done"),"Overdue","")</f>
        <v/>
      </c>
    </row>
    <row r="79" customFormat="false" ht="15" hidden="false" customHeight="false" outlineLevel="0" collapsed="false">
      <c r="A79" s="4" t="n">
        <v>13</v>
      </c>
      <c r="B79" s="5" t="s">
        <v>97</v>
      </c>
      <c r="C79" s="5" t="s">
        <v>98</v>
      </c>
      <c r="D79" s="6"/>
      <c r="E79" s="7" t="n">
        <v>46412</v>
      </c>
      <c r="F79" s="8" t="s">
        <v>22</v>
      </c>
      <c r="G79" s="4" t="str">
        <f aca="true">IF(AND(E79&lt;TODAY(),F79&lt;&gt;"Done"),"Overdue","")</f>
        <v/>
      </c>
    </row>
    <row r="80" customFormat="false" ht="15" hidden="false" customHeight="false" outlineLevel="0" collapsed="false">
      <c r="A80" s="4" t="n">
        <v>13</v>
      </c>
      <c r="B80" s="5" t="s">
        <v>97</v>
      </c>
      <c r="C80" s="5" t="s">
        <v>99</v>
      </c>
      <c r="D80" s="6"/>
      <c r="E80" s="7" t="n">
        <v>46413</v>
      </c>
      <c r="F80" s="8" t="s">
        <v>22</v>
      </c>
      <c r="G80" s="4" t="str">
        <f aca="true">IF(AND(E80&lt;TODAY(),F80&lt;&gt;"Done"),"Overdue","")</f>
        <v/>
      </c>
    </row>
    <row r="81" customFormat="false" ht="15" hidden="false" customHeight="false" outlineLevel="0" collapsed="false">
      <c r="A81" s="4" t="n">
        <v>13</v>
      </c>
      <c r="B81" s="5" t="s">
        <v>97</v>
      </c>
      <c r="C81" s="5" t="s">
        <v>100</v>
      </c>
      <c r="D81" s="6"/>
      <c r="E81" s="7" t="n">
        <v>46414</v>
      </c>
      <c r="F81" s="8" t="s">
        <v>22</v>
      </c>
      <c r="G81" s="4" t="str">
        <f aca="true">IF(AND(E81&lt;TODAY(),F81&lt;&gt;"Done"),"Overdue","")</f>
        <v/>
      </c>
    </row>
    <row r="82" customFormat="false" ht="15" hidden="false" customHeight="false" outlineLevel="0" collapsed="false">
      <c r="A82" s="4" t="n">
        <v>13</v>
      </c>
      <c r="B82" s="5" t="s">
        <v>97</v>
      </c>
      <c r="C82" s="5" t="s">
        <v>101</v>
      </c>
      <c r="D82" s="6"/>
      <c r="E82" s="7" t="n">
        <v>46415</v>
      </c>
      <c r="F82" s="8" t="s">
        <v>22</v>
      </c>
      <c r="G82" s="4" t="str">
        <f aca="true">IF(AND(E82&lt;TODAY(),F82&lt;&gt;"Done"),"Overdue","")</f>
        <v/>
      </c>
    </row>
    <row r="83" customFormat="false" ht="15" hidden="false" customHeight="false" outlineLevel="0" collapsed="false">
      <c r="A83" s="4" t="n">
        <v>13</v>
      </c>
      <c r="B83" s="5" t="s">
        <v>97</v>
      </c>
      <c r="C83" s="5" t="s">
        <v>102</v>
      </c>
      <c r="D83" s="6"/>
      <c r="E83" s="7" t="n">
        <v>46416</v>
      </c>
      <c r="F83" s="8" t="s">
        <v>22</v>
      </c>
      <c r="G83" s="4" t="str">
        <f aca="true">IF(AND(E83&lt;TODAY(),F83&lt;&gt;"Done"),"Overdue","")</f>
        <v/>
      </c>
    </row>
    <row r="84" customFormat="false" ht="15" hidden="false" customHeight="false" outlineLevel="0" collapsed="false">
      <c r="A84" s="4" t="n">
        <v>13</v>
      </c>
      <c r="B84" s="5" t="s">
        <v>97</v>
      </c>
      <c r="C84" s="5" t="s">
        <v>103</v>
      </c>
      <c r="D84" s="6"/>
      <c r="E84" s="7" t="n">
        <v>46417</v>
      </c>
      <c r="F84" s="8" t="s">
        <v>22</v>
      </c>
      <c r="G84" s="4" t="str">
        <f aca="true">IF(AND(E84&lt;TODAY(),F84&lt;&gt;"Done"),"Overdue","")</f>
        <v/>
      </c>
    </row>
  </sheetData>
  <autoFilter ref="A4:G84"/>
  <mergeCells count="1">
    <mergeCell ref="A2:G2"/>
  </mergeCells>
  <conditionalFormatting sqref="A5:G84">
    <cfRule type="expression" priority="2" aboveAverage="0" equalAverage="0" bottom="0" percent="0" rank="0" text="" dxfId="8">
      <formula>$F5="Done"</formula>
    </cfRule>
    <cfRule type="expression" priority="3" aboveAverage="0" equalAverage="0" bottom="0" percent="0" rank="0" text="" dxfId="9">
      <formula>$F5="Blocked"</formula>
    </cfRule>
  </conditionalFormatting>
  <conditionalFormatting sqref="G5:G84">
    <cfRule type="expression" priority="4" aboveAverage="0" equalAverage="0" bottom="0" percent="0" rank="0" text="" dxfId="10">
      <formula>$G5="Overdue"</formula>
    </cfRule>
  </conditionalFormatting>
  <dataValidations count="1">
    <dataValidation allowBlank="false" errorStyle="stop" operator="between" showDropDown="false" showErrorMessage="false" showInputMessage="false" sqref="F5:F84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104</v>
      </c>
    </row>
    <row r="3" customFormat="false" ht="29.85" hidden="false" customHeight="false" outlineLevel="0" collapsed="false">
      <c r="A3" s="3" t="s">
        <v>2</v>
      </c>
      <c r="B3" s="3" t="s">
        <v>3</v>
      </c>
      <c r="C3" s="3" t="s">
        <v>105</v>
      </c>
      <c r="D3" s="3" t="s">
        <v>11</v>
      </c>
      <c r="E3" s="3" t="s">
        <v>18</v>
      </c>
      <c r="F3" s="3" t="s">
        <v>24</v>
      </c>
      <c r="G3" s="3" t="s">
        <v>106</v>
      </c>
      <c r="H3" s="3" t="s">
        <v>107</v>
      </c>
    </row>
    <row r="4" customFormat="false" ht="15" hidden="false" customHeight="false" outlineLevel="0" collapsed="false">
      <c r="A4" s="4" t="n">
        <v>1</v>
      </c>
      <c r="B4" s="5" t="s">
        <v>9</v>
      </c>
      <c r="C4" s="4" t="n">
        <f aca="false">COUNTIF(Roadmap!$A$5:$A$84,A4)</f>
        <v>5</v>
      </c>
      <c r="D4" s="4" t="n">
        <f aca="false">COUNTIFS(Roadmap!$A$5:$A$84,A4,Roadmap!$F$5:$F$84,"Done")</f>
        <v>5</v>
      </c>
      <c r="E4" s="4" t="n">
        <f aca="false">COUNTIFS(Roadmap!$A$5:$A$84,A4,Roadmap!$F$5:$F$84,"In progress")</f>
        <v>0</v>
      </c>
      <c r="F4" s="9" t="n">
        <f aca="false">COUNTIFS(Roadmap!$A$5:$A$84,A4,Roadmap!$F$5:$F$84,"Blocked")</f>
        <v>0</v>
      </c>
      <c r="G4" s="9" t="n">
        <f aca="false">COUNTIFS(Roadmap!$A$5:$A$84,A4,Roadmap!$G$5:$G$84,"Overdue")</f>
        <v>0</v>
      </c>
      <c r="H4" s="10" t="n">
        <f aca="false">IF(C4=0,0,D4/C4)</f>
        <v>1</v>
      </c>
    </row>
    <row r="5" customFormat="false" ht="15" hidden="false" customHeight="false" outlineLevel="0" collapsed="false">
      <c r="A5" s="4" t="n">
        <v>2</v>
      </c>
      <c r="B5" s="5" t="s">
        <v>16</v>
      </c>
      <c r="C5" s="4" t="n">
        <f aca="false">COUNTIF(Roadmap!$A$5:$A$84,A5)</f>
        <v>8</v>
      </c>
      <c r="D5" s="4" t="n">
        <f aca="false">COUNTIFS(Roadmap!$A$5:$A$84,A5,Roadmap!$F$5:$F$84,"Done")</f>
        <v>0</v>
      </c>
      <c r="E5" s="4" t="n">
        <f aca="false">COUNTIFS(Roadmap!$A$5:$A$84,A5,Roadmap!$F$5:$F$84,"In progress")</f>
        <v>3</v>
      </c>
      <c r="F5" s="9" t="n">
        <f aca="false">COUNTIFS(Roadmap!$A$5:$A$84,A5,Roadmap!$F$5:$F$84,"Blocked")</f>
        <v>1</v>
      </c>
      <c r="G5" s="9" t="n">
        <f aca="false">COUNTIFS(Roadmap!$A$5:$A$84,A5,Roadmap!$G$5:$G$84,"Overdue")</f>
        <v>0</v>
      </c>
      <c r="H5" s="10" t="n">
        <f aca="false">IF(C5=0,0,D5/C5)</f>
        <v>0</v>
      </c>
    </row>
    <row r="6" customFormat="false" ht="15" hidden="false" customHeight="false" outlineLevel="0" collapsed="false">
      <c r="A6" s="4" t="n">
        <v>3</v>
      </c>
      <c r="B6" s="5" t="s">
        <v>28</v>
      </c>
      <c r="C6" s="4" t="n">
        <f aca="false">COUNTIF(Roadmap!$A$5:$A$84,A6)</f>
        <v>6</v>
      </c>
      <c r="D6" s="4" t="n">
        <f aca="false">COUNTIFS(Roadmap!$A$5:$A$84,A6,Roadmap!$F$5:$F$84,"Done")</f>
        <v>0</v>
      </c>
      <c r="E6" s="4" t="n">
        <f aca="false">COUNTIFS(Roadmap!$A$5:$A$84,A6,Roadmap!$F$5:$F$84,"In progress")</f>
        <v>0</v>
      </c>
      <c r="F6" s="9" t="n">
        <f aca="false">COUNTIFS(Roadmap!$A$5:$A$84,A6,Roadmap!$F$5:$F$84,"Blocked")</f>
        <v>0</v>
      </c>
      <c r="G6" s="9" t="n">
        <f aca="false">COUNTIFS(Roadmap!$A$5:$A$84,A6,Roadmap!$G$5:$G$84,"Overdue")</f>
        <v>0</v>
      </c>
      <c r="H6" s="10" t="n">
        <f aca="false">IF(C6=0,0,D6/C6)</f>
        <v>0</v>
      </c>
    </row>
    <row r="7" customFormat="false" ht="15" hidden="false" customHeight="false" outlineLevel="0" collapsed="false">
      <c r="A7" s="4" t="n">
        <v>4</v>
      </c>
      <c r="B7" s="5" t="s">
        <v>35</v>
      </c>
      <c r="C7" s="4" t="n">
        <f aca="false">COUNTIF(Roadmap!$A$5:$A$84,A7)</f>
        <v>6</v>
      </c>
      <c r="D7" s="4" t="n">
        <f aca="false">COUNTIFS(Roadmap!$A$5:$A$84,A7,Roadmap!$F$5:$F$84,"Done")</f>
        <v>0</v>
      </c>
      <c r="E7" s="4" t="n">
        <f aca="false">COUNTIFS(Roadmap!$A$5:$A$84,A7,Roadmap!$F$5:$F$84,"In progress")</f>
        <v>0</v>
      </c>
      <c r="F7" s="9" t="n">
        <f aca="false">COUNTIFS(Roadmap!$A$5:$A$84,A7,Roadmap!$F$5:$F$84,"Blocked")</f>
        <v>0</v>
      </c>
      <c r="G7" s="9" t="n">
        <f aca="false">COUNTIFS(Roadmap!$A$5:$A$84,A7,Roadmap!$G$5:$G$84,"Overdue")</f>
        <v>0</v>
      </c>
      <c r="H7" s="10" t="n">
        <f aca="false">IF(C7=0,0,D7/C7)</f>
        <v>0</v>
      </c>
    </row>
    <row r="8" customFormat="false" ht="15" hidden="false" customHeight="false" outlineLevel="0" collapsed="false">
      <c r="A8" s="4" t="n">
        <v>5</v>
      </c>
      <c r="B8" s="5" t="s">
        <v>42</v>
      </c>
      <c r="C8" s="4" t="n">
        <f aca="false">COUNTIF(Roadmap!$A$5:$A$84,A8)</f>
        <v>6</v>
      </c>
      <c r="D8" s="4" t="n">
        <f aca="false">COUNTIFS(Roadmap!$A$5:$A$84,A8,Roadmap!$F$5:$F$84,"Done")</f>
        <v>0</v>
      </c>
      <c r="E8" s="4" t="n">
        <f aca="false">COUNTIFS(Roadmap!$A$5:$A$84,A8,Roadmap!$F$5:$F$84,"In progress")</f>
        <v>0</v>
      </c>
      <c r="F8" s="9" t="n">
        <f aca="false">COUNTIFS(Roadmap!$A$5:$A$84,A8,Roadmap!$F$5:$F$84,"Blocked")</f>
        <v>0</v>
      </c>
      <c r="G8" s="9" t="n">
        <f aca="false">COUNTIFS(Roadmap!$A$5:$A$84,A8,Roadmap!$G$5:$G$84,"Overdue")</f>
        <v>0</v>
      </c>
      <c r="H8" s="10" t="n">
        <f aca="false">IF(C8=0,0,D8/C8)</f>
        <v>0</v>
      </c>
    </row>
    <row r="9" customFormat="false" ht="15" hidden="false" customHeight="false" outlineLevel="0" collapsed="false">
      <c r="A9" s="4" t="n">
        <v>6</v>
      </c>
      <c r="B9" s="5" t="s">
        <v>49</v>
      </c>
      <c r="C9" s="4" t="n">
        <f aca="false">COUNTIF(Roadmap!$A$5:$A$84,A9)</f>
        <v>6</v>
      </c>
      <c r="D9" s="4" t="n">
        <f aca="false">COUNTIFS(Roadmap!$A$5:$A$84,A9,Roadmap!$F$5:$F$84,"Done")</f>
        <v>0</v>
      </c>
      <c r="E9" s="4" t="n">
        <f aca="false">COUNTIFS(Roadmap!$A$5:$A$84,A9,Roadmap!$F$5:$F$84,"In progress")</f>
        <v>0</v>
      </c>
      <c r="F9" s="9" t="n">
        <f aca="false">COUNTIFS(Roadmap!$A$5:$A$84,A9,Roadmap!$F$5:$F$84,"Blocked")</f>
        <v>0</v>
      </c>
      <c r="G9" s="9" t="n">
        <f aca="false">COUNTIFS(Roadmap!$A$5:$A$84,A9,Roadmap!$G$5:$G$84,"Overdue")</f>
        <v>0</v>
      </c>
      <c r="H9" s="10" t="n">
        <f aca="false">IF(C9=0,0,D9/C9)</f>
        <v>0</v>
      </c>
    </row>
    <row r="10" customFormat="false" ht="15" hidden="false" customHeight="false" outlineLevel="0" collapsed="false">
      <c r="A10" s="4" t="n">
        <v>7</v>
      </c>
      <c r="B10" s="5" t="s">
        <v>56</v>
      </c>
      <c r="C10" s="4" t="n">
        <f aca="false">COUNTIF(Roadmap!$A$5:$A$84,A10)</f>
        <v>6</v>
      </c>
      <c r="D10" s="4" t="n">
        <f aca="false">COUNTIFS(Roadmap!$A$5:$A$84,A10,Roadmap!$F$5:$F$84,"Done")</f>
        <v>0</v>
      </c>
      <c r="E10" s="4" t="n">
        <f aca="false">COUNTIFS(Roadmap!$A$5:$A$84,A10,Roadmap!$F$5:$F$84,"In progress")</f>
        <v>0</v>
      </c>
      <c r="F10" s="9" t="n">
        <f aca="false">COUNTIFS(Roadmap!$A$5:$A$84,A10,Roadmap!$F$5:$F$84,"Blocked")</f>
        <v>0</v>
      </c>
      <c r="G10" s="9" t="n">
        <f aca="false">COUNTIFS(Roadmap!$A$5:$A$84,A10,Roadmap!$G$5:$G$84,"Overdue")</f>
        <v>0</v>
      </c>
      <c r="H10" s="10" t="n">
        <f aca="false">IF(C10=0,0,D10/C10)</f>
        <v>0</v>
      </c>
    </row>
    <row r="11" customFormat="false" ht="15" hidden="false" customHeight="false" outlineLevel="0" collapsed="false">
      <c r="A11" s="4" t="n">
        <v>8</v>
      </c>
      <c r="B11" s="5" t="s">
        <v>62</v>
      </c>
      <c r="C11" s="4" t="n">
        <f aca="false">COUNTIF(Roadmap!$A$5:$A$84,A11)</f>
        <v>6</v>
      </c>
      <c r="D11" s="4" t="n">
        <f aca="false">COUNTIFS(Roadmap!$A$5:$A$84,A11,Roadmap!$F$5:$F$84,"Done")</f>
        <v>0</v>
      </c>
      <c r="E11" s="4" t="n">
        <f aca="false">COUNTIFS(Roadmap!$A$5:$A$84,A11,Roadmap!$F$5:$F$84,"In progress")</f>
        <v>0</v>
      </c>
      <c r="F11" s="9" t="n">
        <f aca="false">COUNTIFS(Roadmap!$A$5:$A$84,A11,Roadmap!$F$5:$F$84,"Blocked")</f>
        <v>0</v>
      </c>
      <c r="G11" s="9" t="n">
        <f aca="false">COUNTIFS(Roadmap!$A$5:$A$84,A11,Roadmap!$G$5:$G$84,"Overdue")</f>
        <v>0</v>
      </c>
      <c r="H11" s="10" t="n">
        <f aca="false">IF(C11=0,0,D11/C11)</f>
        <v>0</v>
      </c>
    </row>
    <row r="12" customFormat="false" ht="15" hidden="false" customHeight="false" outlineLevel="0" collapsed="false">
      <c r="A12" s="4" t="n">
        <v>9</v>
      </c>
      <c r="B12" s="5" t="s">
        <v>69</v>
      </c>
      <c r="C12" s="4" t="n">
        <f aca="false">COUNTIF(Roadmap!$A$5:$A$84,A12)</f>
        <v>6</v>
      </c>
      <c r="D12" s="4" t="n">
        <f aca="false">COUNTIFS(Roadmap!$A$5:$A$84,A12,Roadmap!$F$5:$F$84,"Done")</f>
        <v>0</v>
      </c>
      <c r="E12" s="4" t="n">
        <f aca="false">COUNTIFS(Roadmap!$A$5:$A$84,A12,Roadmap!$F$5:$F$84,"In progress")</f>
        <v>0</v>
      </c>
      <c r="F12" s="9" t="n">
        <f aca="false">COUNTIFS(Roadmap!$A$5:$A$84,A12,Roadmap!$F$5:$F$84,"Blocked")</f>
        <v>0</v>
      </c>
      <c r="G12" s="9" t="n">
        <f aca="false">COUNTIFS(Roadmap!$A$5:$A$84,A12,Roadmap!$G$5:$G$84,"Overdue")</f>
        <v>0</v>
      </c>
      <c r="H12" s="10" t="n">
        <f aca="false">IF(C12=0,0,D12/C12)</f>
        <v>0</v>
      </c>
    </row>
    <row r="13" customFormat="false" ht="15" hidden="false" customHeight="false" outlineLevel="0" collapsed="false">
      <c r="A13" s="4" t="n">
        <v>10</v>
      </c>
      <c r="B13" s="5" t="s">
        <v>76</v>
      </c>
      <c r="C13" s="4" t="n">
        <f aca="false">COUNTIF(Roadmap!$A$5:$A$84,A13)</f>
        <v>6</v>
      </c>
      <c r="D13" s="4" t="n">
        <f aca="false">COUNTIFS(Roadmap!$A$5:$A$84,A13,Roadmap!$F$5:$F$84,"Done")</f>
        <v>0</v>
      </c>
      <c r="E13" s="4" t="n">
        <f aca="false">COUNTIFS(Roadmap!$A$5:$A$84,A13,Roadmap!$F$5:$F$84,"In progress")</f>
        <v>0</v>
      </c>
      <c r="F13" s="9" t="n">
        <f aca="false">COUNTIFS(Roadmap!$A$5:$A$84,A13,Roadmap!$F$5:$F$84,"Blocked")</f>
        <v>0</v>
      </c>
      <c r="G13" s="9" t="n">
        <f aca="false">COUNTIFS(Roadmap!$A$5:$A$84,A13,Roadmap!$G$5:$G$84,"Overdue")</f>
        <v>0</v>
      </c>
      <c r="H13" s="10" t="n">
        <f aca="false">IF(C13=0,0,D13/C13)</f>
        <v>0</v>
      </c>
    </row>
    <row r="14" customFormat="false" ht="15" hidden="false" customHeight="false" outlineLevel="0" collapsed="false">
      <c r="A14" s="4" t="n">
        <v>11</v>
      </c>
      <c r="B14" s="5" t="s">
        <v>83</v>
      </c>
      <c r="C14" s="4" t="n">
        <f aca="false">COUNTIF(Roadmap!$A$5:$A$84,A14)</f>
        <v>6</v>
      </c>
      <c r="D14" s="4" t="n">
        <f aca="false">COUNTIFS(Roadmap!$A$5:$A$84,A14,Roadmap!$F$5:$F$84,"Done")</f>
        <v>0</v>
      </c>
      <c r="E14" s="4" t="n">
        <f aca="false">COUNTIFS(Roadmap!$A$5:$A$84,A14,Roadmap!$F$5:$F$84,"In progress")</f>
        <v>0</v>
      </c>
      <c r="F14" s="9" t="n">
        <f aca="false">COUNTIFS(Roadmap!$A$5:$A$84,A14,Roadmap!$F$5:$F$84,"Blocked")</f>
        <v>0</v>
      </c>
      <c r="G14" s="9" t="n">
        <f aca="false">COUNTIFS(Roadmap!$A$5:$A$84,A14,Roadmap!$G$5:$G$84,"Overdue")</f>
        <v>0</v>
      </c>
      <c r="H14" s="10" t="n">
        <f aca="false">IF(C14=0,0,D14/C14)</f>
        <v>0</v>
      </c>
    </row>
    <row r="15" customFormat="false" ht="15" hidden="false" customHeight="false" outlineLevel="0" collapsed="false">
      <c r="A15" s="4" t="n">
        <v>12</v>
      </c>
      <c r="B15" s="5" t="s">
        <v>90</v>
      </c>
      <c r="C15" s="4" t="n">
        <f aca="false">COUNTIF(Roadmap!$A$5:$A$84,A15)</f>
        <v>7</v>
      </c>
      <c r="D15" s="4" t="n">
        <f aca="false">COUNTIFS(Roadmap!$A$5:$A$84,A15,Roadmap!$F$5:$F$84,"Done")</f>
        <v>0</v>
      </c>
      <c r="E15" s="4" t="n">
        <f aca="false">COUNTIFS(Roadmap!$A$5:$A$84,A15,Roadmap!$F$5:$F$84,"In progress")</f>
        <v>0</v>
      </c>
      <c r="F15" s="9" t="n">
        <f aca="false">COUNTIFS(Roadmap!$A$5:$A$84,A15,Roadmap!$F$5:$F$84,"Blocked")</f>
        <v>0</v>
      </c>
      <c r="G15" s="9" t="n">
        <f aca="false">COUNTIFS(Roadmap!$A$5:$A$84,A15,Roadmap!$G$5:$G$84,"Overdue")</f>
        <v>0</v>
      </c>
      <c r="H15" s="10" t="n">
        <f aca="false">IF(C15=0,0,D15/C15)</f>
        <v>0</v>
      </c>
    </row>
    <row r="16" customFormat="false" ht="15" hidden="false" customHeight="false" outlineLevel="0" collapsed="false">
      <c r="A16" s="4" t="n">
        <v>13</v>
      </c>
      <c r="B16" s="5" t="s">
        <v>97</v>
      </c>
      <c r="C16" s="4" t="n">
        <f aca="false">COUNTIF(Roadmap!$A$5:$A$84,A16)</f>
        <v>6</v>
      </c>
      <c r="D16" s="4" t="n">
        <f aca="false">COUNTIFS(Roadmap!$A$5:$A$84,A16,Roadmap!$F$5:$F$84,"Done")</f>
        <v>0</v>
      </c>
      <c r="E16" s="4" t="n">
        <f aca="false">COUNTIFS(Roadmap!$A$5:$A$84,A16,Roadmap!$F$5:$F$84,"In progress")</f>
        <v>0</v>
      </c>
      <c r="F16" s="9" t="n">
        <f aca="false">COUNTIFS(Roadmap!$A$5:$A$84,A16,Roadmap!$F$5:$F$84,"Blocked")</f>
        <v>0</v>
      </c>
      <c r="G16" s="9" t="n">
        <f aca="false">COUNTIFS(Roadmap!$A$5:$A$84,A16,Roadmap!$G$5:$G$84,"Overdue")</f>
        <v>0</v>
      </c>
      <c r="H16" s="10" t="n">
        <f aca="false">IF(C16=0,0,D16/C16)</f>
        <v>0</v>
      </c>
    </row>
    <row r="17" customFormat="false" ht="15" hidden="false" customHeight="false" outlineLevel="0" collapsed="false">
      <c r="A17" s="11"/>
      <c r="B17" s="12" t="s">
        <v>108</v>
      </c>
      <c r="C17" s="13" t="n">
        <f aca="false">SUM(C4:C16)</f>
        <v>80</v>
      </c>
      <c r="D17" s="13" t="n">
        <f aca="false">SUM(D4:D16)</f>
        <v>5</v>
      </c>
      <c r="E17" s="13" t="n">
        <f aca="false">SUM(E4:E16)</f>
        <v>3</v>
      </c>
      <c r="F17" s="13" t="n">
        <f aca="false">SUM(F4:F16)</f>
        <v>1</v>
      </c>
      <c r="G17" s="13" t="n">
        <f aca="false">SUM(G4:G16)</f>
        <v>0</v>
      </c>
      <c r="H17" s="14" t="n">
        <f aca="false">IF(C17=0,0,D17/C17)</f>
        <v>0.0625</v>
      </c>
    </row>
  </sheetData>
  <conditionalFormatting sqref="H4:H16">
    <cfRule type="dataBar" priority="2">
      <dataBar showValue="1" minLength="10" maxLength="90">
        <cfvo type="num" val="0"/>
        <cfvo type="num" val="1"/>
        <color rgb="FF0153D7"/>
      </dataBar>
      <extLst>
        <ext xmlns:x14="http://schemas.microsoft.com/office/spreadsheetml/2009/9/main" uri="{B025F937-C7B1-47D3-B67F-A62EFF666E3E}">
          <x14:id>{4FE9A1A8-8B11-46A8-9056-12A7C2EBF8EE}</x14:id>
        </ext>
      </extLst>
    </cfRule>
  </conditionalFormatting>
  <conditionalFormatting sqref="F4:G16">
    <cfRule type="cellIs" priority="3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E9A1A8-8B11-46A8-9056-12A7C2EBF8E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153D7"/>
              <x14:axisColor rgb="FF000000"/>
            </x14:dataBar>
          </x14:cfRule>
          <xm:sqref>H4:H16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6" min="3" style="0" width="12"/>
    <col collapsed="false" customWidth="true" hidden="false" outlineLevel="0" max="7" min="7" style="0" width="26"/>
    <col collapsed="false" customWidth="true" hidden="false" outlineLevel="0" max="8" min="8" style="0" width="9"/>
  </cols>
  <sheetData>
    <row r="1" customFormat="false" ht="19.7" hidden="false" customHeight="false" outlineLevel="0" collapsed="false">
      <c r="A1" s="1" t="s">
        <v>109</v>
      </c>
    </row>
    <row r="2" customFormat="false" ht="15" hidden="false" customHeight="false" outlineLevel="0" collapsed="false">
      <c r="A2" s="15" t="s">
        <v>110</v>
      </c>
    </row>
    <row r="4" customFormat="false" ht="29.85" hidden="false" customHeight="false" outlineLevel="0" collapsed="false">
      <c r="A4" s="3" t="s">
        <v>111</v>
      </c>
      <c r="B4" s="3" t="s">
        <v>5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116</v>
      </c>
      <c r="H4" s="3" t="s">
        <v>117</v>
      </c>
    </row>
    <row r="5" customFormat="false" ht="15" hidden="false" customHeight="false" outlineLevel="0" collapsed="false">
      <c r="A5" s="6" t="s">
        <v>118</v>
      </c>
      <c r="B5" s="6" t="s">
        <v>119</v>
      </c>
      <c r="C5" s="16" t="n">
        <v>12000</v>
      </c>
      <c r="D5" s="16" t="n">
        <v>13800</v>
      </c>
      <c r="E5" s="17" t="n">
        <f aca="false">D5-C5</f>
        <v>1800</v>
      </c>
      <c r="F5" s="18" t="n">
        <f aca="false">IF(C5=0,0,E5/C5)</f>
        <v>0.15</v>
      </c>
      <c r="G5" s="6" t="s">
        <v>120</v>
      </c>
      <c r="H5" s="8" t="n">
        <v>72</v>
      </c>
    </row>
    <row r="6" customFormat="false" ht="15" hidden="false" customHeight="false" outlineLevel="0" collapsed="false">
      <c r="A6" s="6" t="s">
        <v>121</v>
      </c>
      <c r="B6" s="6" t="s">
        <v>122</v>
      </c>
      <c r="C6" s="16" t="n">
        <v>8000</v>
      </c>
      <c r="D6" s="16" t="n">
        <v>6100</v>
      </c>
      <c r="E6" s="17" t="n">
        <f aca="false">D6-C6</f>
        <v>-1900</v>
      </c>
      <c r="F6" s="18" t="n">
        <f aca="false">IF(C6=0,0,E6/C6)</f>
        <v>-0.2375</v>
      </c>
      <c r="G6" s="6" t="s">
        <v>123</v>
      </c>
      <c r="H6" s="8" t="n">
        <v>88</v>
      </c>
    </row>
    <row r="7" customFormat="false" ht="15" hidden="false" customHeight="false" outlineLevel="0" collapsed="false">
      <c r="A7" s="6" t="s">
        <v>124</v>
      </c>
      <c r="B7" s="6" t="s">
        <v>125</v>
      </c>
      <c r="C7" s="16" t="n">
        <v>25000</v>
      </c>
      <c r="D7" s="16" t="n">
        <v>26500</v>
      </c>
      <c r="E7" s="17" t="n">
        <f aca="false">D7-C7</f>
        <v>1500</v>
      </c>
      <c r="F7" s="18" t="n">
        <f aca="false">IF(C7=0,0,E7/C7)</f>
        <v>0.06</v>
      </c>
      <c r="G7" s="6" t="s">
        <v>120</v>
      </c>
      <c r="H7" s="8" t="n">
        <v>64</v>
      </c>
    </row>
    <row r="8" customFormat="false" ht="15" hidden="false" customHeight="false" outlineLevel="0" collapsed="false">
      <c r="A8" s="6" t="s">
        <v>126</v>
      </c>
      <c r="B8" s="6" t="s">
        <v>127</v>
      </c>
      <c r="C8" s="16" t="n">
        <v>9000</v>
      </c>
      <c r="D8" s="16" t="n">
        <v>9000</v>
      </c>
      <c r="E8" s="17" t="n">
        <f aca="false">D8-C8</f>
        <v>0</v>
      </c>
      <c r="F8" s="18" t="n">
        <f aca="false">IF(C8=0,0,E8/C8)</f>
        <v>0</v>
      </c>
      <c r="G8" s="6" t="s">
        <v>128</v>
      </c>
      <c r="H8" s="8" t="n">
        <v>91</v>
      </c>
    </row>
    <row r="9" customFormat="false" ht="15" hidden="false" customHeight="false" outlineLevel="0" collapsed="false">
      <c r="A9" s="6" t="s">
        <v>129</v>
      </c>
      <c r="B9" s="6" t="s">
        <v>119</v>
      </c>
      <c r="C9" s="16" t="n">
        <v>5000</v>
      </c>
      <c r="D9" s="16" t="n">
        <v>2900</v>
      </c>
      <c r="E9" s="17" t="n">
        <f aca="false">D9-C9</f>
        <v>-2100</v>
      </c>
      <c r="F9" s="18" t="n">
        <f aca="false">IF(C9=0,0,E9/C9)</f>
        <v>-0.42</v>
      </c>
      <c r="G9" s="6" t="s">
        <v>123</v>
      </c>
      <c r="H9" s="8" t="n">
        <v>55</v>
      </c>
    </row>
    <row r="10" customFormat="false" ht="15" hidden="false" customHeight="false" outlineLevel="0" collapsed="false">
      <c r="A10" s="6" t="s">
        <v>130</v>
      </c>
      <c r="B10" s="6" t="s">
        <v>131</v>
      </c>
      <c r="C10" s="16" t="n">
        <v>30000</v>
      </c>
      <c r="D10" s="16" t="n">
        <v>36400</v>
      </c>
      <c r="E10" s="17" t="n">
        <f aca="false">D10-C10</f>
        <v>6400</v>
      </c>
      <c r="F10" s="18" t="n">
        <f aca="false">IF(C10=0,0,E10/C10)</f>
        <v>0.213333333333333</v>
      </c>
      <c r="G10" s="6" t="s">
        <v>132</v>
      </c>
      <c r="H10" s="8" t="n">
        <v>48</v>
      </c>
    </row>
    <row r="11" customFormat="false" ht="15" hidden="false" customHeight="false" outlineLevel="0" collapsed="false">
      <c r="A11" s="6" t="s">
        <v>133</v>
      </c>
      <c r="B11" s="6" t="s">
        <v>125</v>
      </c>
      <c r="C11" s="16" t="n">
        <v>7000</v>
      </c>
      <c r="D11" s="16" t="n">
        <v>7350</v>
      </c>
      <c r="E11" s="17" t="n">
        <f aca="false">D11-C11</f>
        <v>350</v>
      </c>
      <c r="F11" s="18" t="n">
        <f aca="false">IF(C11=0,0,E11/C11)</f>
        <v>0.05</v>
      </c>
      <c r="G11" s="6" t="s">
        <v>128</v>
      </c>
      <c r="H11" s="8" t="n">
        <v>79</v>
      </c>
    </row>
    <row r="12" customFormat="false" ht="15" hidden="false" customHeight="false" outlineLevel="0" collapsed="false">
      <c r="A12" s="6" t="s">
        <v>134</v>
      </c>
      <c r="B12" s="6" t="s">
        <v>122</v>
      </c>
      <c r="C12" s="16" t="n">
        <v>4000</v>
      </c>
      <c r="D12" s="16" t="n">
        <v>3200</v>
      </c>
      <c r="E12" s="17" t="n">
        <f aca="false">D12-C12</f>
        <v>-800</v>
      </c>
      <c r="F12" s="18" t="n">
        <f aca="false">IF(C12=0,0,E12/C12)</f>
        <v>-0.2</v>
      </c>
      <c r="G12" s="6" t="s">
        <v>123</v>
      </c>
      <c r="H12" s="8" t="n">
        <v>83</v>
      </c>
    </row>
    <row r="13" customFormat="false" ht="15" hidden="false" customHeight="false" outlineLevel="0" collapsed="false">
      <c r="A13" s="6" t="s">
        <v>126</v>
      </c>
      <c r="B13" s="6" t="s">
        <v>127</v>
      </c>
      <c r="C13" s="16" t="n">
        <v>9000</v>
      </c>
      <c r="D13" s="16" t="n">
        <v>9000</v>
      </c>
      <c r="E13" s="17" t="n">
        <f aca="false">D13-C13</f>
        <v>0</v>
      </c>
      <c r="F13" s="18" t="n">
        <f aca="false">IF(C13=0,0,E13/C13)</f>
        <v>0</v>
      </c>
      <c r="G13" s="6" t="s">
        <v>135</v>
      </c>
      <c r="H13" s="8" t="n">
        <v>91</v>
      </c>
    </row>
    <row r="14" customFormat="false" ht="15" hidden="false" customHeight="false" outlineLevel="0" collapsed="false">
      <c r="A14" s="6" t="s">
        <v>136</v>
      </c>
      <c r="B14" s="6" t="s">
        <v>131</v>
      </c>
      <c r="C14" s="16" t="n">
        <v>15000</v>
      </c>
      <c r="D14" s="16" t="n">
        <v>11800</v>
      </c>
      <c r="E14" s="17" t="n">
        <f aca="false">D14-C14</f>
        <v>-3200</v>
      </c>
      <c r="F14" s="18" t="n">
        <f aca="false">IF(C14=0,0,E14/C14)</f>
        <v>-0.213333333333333</v>
      </c>
      <c r="G14" s="6" t="s">
        <v>123</v>
      </c>
      <c r="H14" s="8" t="n">
        <v>60</v>
      </c>
    </row>
  </sheetData>
  <conditionalFormatting sqref="F5:F14">
    <cfRule type="cellIs" priority="2" operator="greaterThan" aboveAverage="0" equalAverage="0" bottom="0" percent="0" rank="0" text="" dxfId="9">
      <formula>0.1</formula>
    </cfRule>
  </conditionalFormatting>
  <conditionalFormatting sqref="A5:A14">
    <cfRule type="expression" priority="3" aboveAverage="0" equalAverage="0" bottom="0" percent="0" rank="0" text="" dxfId="11">
      <formula>COUNTIF($A$5:$A$14,$A5)&gt;1</formula>
    </cfRule>
  </conditionalFormatting>
  <conditionalFormatting sqref="H5:H14">
    <cfRule type="top10" priority="4" aboveAverage="0" equalAverage="0" bottom="0" percent="0" rank="3" text="" dxfId="12"/>
  </conditionalFormatting>
  <conditionalFormatting sqref="G5:G14">
    <cfRule type="expression" priority="5" aboveAverage="0" equalAverage="0" bottom="0" percent="0" rank="0" text="" dxfId="13">
      <formula>ISNUMBER(SEARCH("blocked",$G5))</formula>
    </cfRule>
  </conditionalFormatting>
  <conditionalFormatting sqref="D5:D14">
    <cfRule type="dataBar" priority="6">
      <dataBar showValue="1" minLength="10" maxLength="90">
        <cfvo type="min" val="0"/>
        <cfvo type="max" val="0"/>
        <color rgb="FF0153D7"/>
      </dataBar>
      <extLst>
        <ext xmlns:x14="http://schemas.microsoft.com/office/spreadsheetml/2009/9/main" uri="{B025F937-C7B1-47D3-B67F-A62EFF666E3E}">
          <x14:id>{57F39B8A-C69B-4152-86D5-73C9178B53A2}</x14:id>
        </ext>
      </extLst>
    </cfRule>
  </conditionalFormatting>
  <conditionalFormatting sqref="E5:E14">
    <cfRule type="iconSet" priority="7">
      <iconSet iconSet="3Arrows">
        <cfvo type="num" val="-1000000000"/>
        <cfvo type="num" val="-1"/>
        <cfvo type="num" val="1"/>
      </iconSet>
    </cfRule>
  </conditionalFormatting>
  <conditionalFormatting sqref="B5:B14">
    <cfRule type="expression" priority="8" aboveAverage="0" equalAverage="0" bottom="0" percent="0" rank="0" text="" dxfId="14">
      <formula>AND($F5&gt;0.1,$H5&lt;60)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F39B8A-C69B-4152-86D5-73C9178B53A2}">
            <x14:dataBar minLength="10" maxLength="90" axisPosition="none" gradient="true">
              <x14:cfvo type="min"/>
              <x14:cfvo type="max"/>
              <x14:negativeFillColor rgb="FF0153D7"/>
              <x14:axisColor rgb="FF000000"/>
            </x14:dataBar>
          </x14:cfRule>
          <xm:sqref>D5:D14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9" t="s">
        <v>137</v>
      </c>
      <c r="B1" s="19" t="s">
        <v>138</v>
      </c>
    </row>
    <row r="2" customFormat="false" ht="29.85" hidden="false" customHeight="false" outlineLevel="0" collapsed="false">
      <c r="A2" s="20" t="s">
        <v>139</v>
      </c>
      <c r="B2" s="20" t="s">
        <v>140</v>
      </c>
    </row>
    <row r="3" customFormat="false" ht="15" hidden="false" customHeight="false" outlineLevel="0" collapsed="false">
      <c r="A3" s="20" t="s">
        <v>141</v>
      </c>
      <c r="B3" s="20" t="s">
        <v>142</v>
      </c>
    </row>
    <row r="4" customFormat="false" ht="44" hidden="false" customHeight="false" outlineLevel="0" collapsed="false">
      <c r="A4" s="20" t="s">
        <v>143</v>
      </c>
      <c r="B4" s="20" t="s">
        <v>144</v>
      </c>
    </row>
    <row r="5" customFormat="false" ht="58.2" hidden="false" customHeight="false" outlineLevel="0" collapsed="false">
      <c r="A5" s="20" t="s">
        <v>145</v>
      </c>
      <c r="B5" s="20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2026-10-16T10:00:27Z</dcterms:created>
  <dc:creator>openpyxl</dc:creator>
  <dc:description/>
  <dc:language>en-US</dc:language>
  <cp:lastModifiedBy/>
  <dcterms:modified xsi:type="dcterms:W3CDTF">2026-10-16T10:00:27Z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
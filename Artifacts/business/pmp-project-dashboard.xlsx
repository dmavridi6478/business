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EVM" sheetId="2" state="visible" r:id="rId2"/>
    <sheet xmlns:r="http://schemas.openxmlformats.org/officeDocument/2006/relationships" name="Schedule" sheetId="3" state="visible" r:id="rId3"/>
    <sheet xmlns:r="http://schemas.openxmlformats.org/officeDocument/2006/relationships" name="Risk and PERT" sheetId="4" state="visible" r:id="rId4"/>
    <sheet xmlns:r="http://schemas.openxmlformats.org/officeDocument/2006/relationships" name="Benef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5">
    <font>
      <name val="Calibri"/>
      <family val="2"/>
      <color theme="1"/>
      <sz val="11"/>
      <scheme val="minor"/>
    </font>
    <font>
      <name val="Aptos"/>
      <b val="1"/>
      <sz val="32"/>
    </font>
    <font>
      <name val="Aptos"/>
      <b val="1"/>
      <sz val="14"/>
    </font>
    <font>
      <name val="Aptos"/>
      <b val="1"/>
      <sz val="11"/>
    </font>
    <font>
      <name val="Aptos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vertical="top"/>
    </xf>
    <xf numFmtId="3" fontId="4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3" fontId="4" fillId="0" borderId="1" applyAlignment="1" pivotButton="0" quotePrefix="0" xfId="0">
      <alignment horizontal="center" vertical="top" wrapText="1"/>
    </xf>
    <xf numFmtId="2" fontId="4" fillId="0" borderId="1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top" wrapText="1"/>
    </xf>
    <xf numFmtId="9" fontId="4" fillId="2" borderId="1" applyAlignment="1" pivotButton="0" quotePrefix="0" xfId="0">
      <alignment horizontal="center" vertical="top" wrapText="1"/>
    </xf>
    <xf numFmtId="3" fontId="3" fillId="0" borderId="1" applyAlignment="1" pivotButton="0" quotePrefix="0" xfId="0">
      <alignment horizontal="center" vertical="top" wrapText="1"/>
    </xf>
    <xf numFmtId="164" fontId="4" fillId="0" borderId="1" applyAlignment="1" pivotButton="0" quotePrefix="0" xfId="0">
      <alignment horizontal="center" vertical="top" wrapText="1"/>
    </xf>
    <xf numFmtId="164" fontId="3" fillId="0" borderId="1" applyAlignment="1" pivotButton="0" quotePrefix="0" xfId="0">
      <alignment horizontal="center" vertical="top" wrapText="1"/>
    </xf>
    <xf numFmtId="2" fontId="3" fillId="0" borderId="1" applyAlignment="1" pivotButton="0" quotePrefix="0" xfId="0">
      <alignment horizontal="center" vertical="top" wrapText="1"/>
    </xf>
    <xf numFmtId="165" fontId="4" fillId="2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2">
    <dxf>
      <fill>
        <patternFill patternType="solid">
          <bgColor rgb="00F8CBAD"/>
        </patternFill>
      </fill>
    </dxf>
    <dxf>
      <fill>
        <patternFill patternType="solid">
          <b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PV vs EV vs AC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'EVM'!$A$5:$A$7</f>
            </numRef>
          </cat>
          <val>
            <numRef>
              <f>'EVM'!$B$5:$B$7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 ht="48" customHeight="1">
      <c r="A1" s="1" t="inlineStr">
        <is>
          <t>Project controls dashboard</t>
        </is>
      </c>
    </row>
    <row r="3">
      <c r="A3" s="2" t="inlineStr">
        <is>
          <t>How to use</t>
        </is>
      </c>
    </row>
    <row r="4">
      <c r="A4" s="3" t="inlineStr">
        <is>
          <t>Yellow cells</t>
        </is>
      </c>
      <c r="B4" s="4" t="inlineStr">
        <is>
          <t>Inputs. Everything else is a formula; do not overwrite it.</t>
        </is>
      </c>
    </row>
    <row r="5">
      <c r="A5" s="3" t="inlineStr">
        <is>
          <t>EVM</t>
        </is>
      </c>
      <c r="B5" s="4" t="inlineStr">
        <is>
          <t>Earned value: cost and schedule performance and forecasts.</t>
        </is>
      </c>
    </row>
    <row r="6">
      <c r="A6" s="3" t="inlineStr">
        <is>
          <t>Schedule</t>
        </is>
      </c>
      <c r="B6" s="4" t="inlineStr">
        <is>
          <t>Early and late dates, total float, critical flag.</t>
        </is>
      </c>
    </row>
    <row r="7">
      <c r="A7" s="3" t="inlineStr">
        <is>
          <t>Risk and PERT</t>
        </is>
      </c>
      <c r="B7" s="4" t="inlineStr">
        <is>
          <t>Expected monetary value and three-point estimates.</t>
        </is>
      </c>
    </row>
    <row r="8">
      <c r="A8" s="3" t="inlineStr">
        <is>
          <t>Benefits</t>
        </is>
      </c>
      <c r="B8" s="4" t="inlineStr">
        <is>
          <t>NPV, ROI, benefit-cost ratio and payback.</t>
        </is>
      </c>
    </row>
    <row r="9">
      <c r="A9" s="3" t="inlineStr">
        <is>
          <t>Source</t>
        </is>
      </c>
      <c r="B9" s="4" t="inlineStr">
        <is>
          <t>Formulas from a PMP formulas cheat sheet; sample numbers are illustrative, not real project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44" customWidth="1" min="3" max="3"/>
  </cols>
  <sheetData>
    <row r="1" ht="48" customHeight="1">
      <c r="A1" s="1" t="inlineStr">
        <is>
          <t>Earned value</t>
        </is>
      </c>
    </row>
    <row r="2">
      <c r="A2" s="5" t="inlineStr">
        <is>
          <t>Enter PV, EV, AC and BAC in the yellow cells (same currency).</t>
        </is>
      </c>
    </row>
    <row r="4">
      <c r="A4" s="2" t="inlineStr">
        <is>
          <t>Inputs</t>
        </is>
      </c>
    </row>
    <row r="5">
      <c r="A5" s="3" t="inlineStr">
        <is>
          <t>PV planned value</t>
        </is>
      </c>
      <c r="B5" s="6" t="n">
        <v>100000</v>
      </c>
    </row>
    <row r="6">
      <c r="A6" s="3" t="inlineStr">
        <is>
          <t>EV earned value</t>
        </is>
      </c>
      <c r="B6" s="6" t="n">
        <v>90000</v>
      </c>
    </row>
    <row r="7">
      <c r="A7" s="3" t="inlineStr">
        <is>
          <t>AC actual cost</t>
        </is>
      </c>
      <c r="B7" s="6" t="n">
        <v>110000</v>
      </c>
    </row>
    <row r="8">
      <c r="A8" s="3" t="inlineStr">
        <is>
          <t>BAC budget at completion</t>
        </is>
      </c>
      <c r="B8" s="6" t="n">
        <v>500000</v>
      </c>
    </row>
    <row r="10">
      <c r="A10" s="2" t="inlineStr">
        <is>
          <t>Results</t>
        </is>
      </c>
    </row>
    <row r="11">
      <c r="A11" s="7" t="inlineStr">
        <is>
          <t>Metric</t>
        </is>
      </c>
      <c r="B11" s="7" t="inlineStr">
        <is>
          <t>Value</t>
        </is>
      </c>
      <c r="C11" s="7" t="inlineStr">
        <is>
          <t>Reading</t>
        </is>
      </c>
    </row>
    <row r="12">
      <c r="A12" s="3" t="inlineStr">
        <is>
          <t>CV = EV - AC</t>
        </is>
      </c>
      <c r="B12" s="8">
        <f>B6-B7</f>
        <v/>
      </c>
      <c r="C12" s="4">
        <f>IF(B12&lt;0,"Over budget",IF(B12=0,"On budget","Under budget"))</f>
        <v/>
      </c>
    </row>
    <row r="13">
      <c r="A13" s="3" t="inlineStr">
        <is>
          <t>SV = EV - PV</t>
        </is>
      </c>
      <c r="B13" s="8">
        <f>B6-B5</f>
        <v/>
      </c>
      <c r="C13" s="4">
        <f>IF(B13&lt;0,"Behind schedule",IF(B13=0,"On schedule","Ahead of schedule"))</f>
        <v/>
      </c>
    </row>
    <row r="14">
      <c r="A14" s="3" t="inlineStr">
        <is>
          <t>CPI = EV / AC</t>
        </is>
      </c>
      <c r="B14" s="9">
        <f>B6/B7</f>
        <v/>
      </c>
      <c r="C14" s="4">
        <f>IF(B14&lt;1,"Cost inefficient",IF(B14=1,"On plan","Cost efficient"))</f>
        <v/>
      </c>
    </row>
    <row r="15">
      <c r="A15" s="3" t="inlineStr">
        <is>
          <t>SPI = EV / PV</t>
        </is>
      </c>
      <c r="B15" s="9">
        <f>B6/B5</f>
        <v/>
      </c>
      <c r="C15" s="4">
        <f>IF(B15&lt;1,"Slower than plan",IF(B15=1,"On plan","Faster than plan"))</f>
        <v/>
      </c>
    </row>
    <row r="16">
      <c r="A16" s="3" t="inlineStr">
        <is>
          <t>EAC (a) = BAC / CPI</t>
        </is>
      </c>
      <c r="B16" s="8">
        <f>B8/B14</f>
        <v/>
      </c>
      <c r="C16" s="4" t="inlineStr">
        <is>
          <t>Typical variance continues</t>
        </is>
      </c>
    </row>
    <row r="17">
      <c r="A17" s="3" t="inlineStr">
        <is>
          <t>EAC (b) = AC + (BAC - EV) / CPI</t>
        </is>
      </c>
      <c r="B17" s="8">
        <f>B7+(B8-B6)/B14</f>
        <v/>
      </c>
      <c r="C17" s="4" t="inlineStr">
        <is>
          <t>Remaining work at current CPI</t>
        </is>
      </c>
    </row>
    <row r="18">
      <c r="A18" s="3" t="inlineStr">
        <is>
          <t>ETC (a) = EAC(b) - AC</t>
        </is>
      </c>
      <c r="B18" s="8">
        <f>B17-B7</f>
        <v/>
      </c>
      <c r="C18" s="4" t="inlineStr">
        <is>
          <t>Remaining cost, from EAC (b)</t>
        </is>
      </c>
    </row>
    <row r="19">
      <c r="A19" s="3" t="inlineStr">
        <is>
          <t>ETC (b) = (BAC - EV) / CPI</t>
        </is>
      </c>
      <c r="B19" s="8">
        <f>(B8-B6)/B14</f>
        <v/>
      </c>
      <c r="C19" s="4" t="inlineStr">
        <is>
          <t>Same value as ETC (a) when EAC uses CPI</t>
        </is>
      </c>
    </row>
    <row r="20">
      <c r="A20" s="3" t="inlineStr">
        <is>
          <t>VAC = BAC - EAC(b)</t>
        </is>
      </c>
      <c r="B20" s="8">
        <f>B8-B17</f>
        <v/>
      </c>
      <c r="C20" s="4">
        <f>IF(B20&lt;0,"Forecast overrun","Forecast within budget")</f>
        <v/>
      </c>
    </row>
    <row r="21">
      <c r="A21" s="3" t="inlineStr">
        <is>
          <t>TCPI = (BAC - EV) / (BAC - AC)</t>
        </is>
      </c>
      <c r="B21" s="9">
        <f>(B8-B6)/(B8-B7)</f>
        <v/>
      </c>
      <c r="C21" s="4">
        <f>IF(B21&gt;1,"Must improve efficiency to hit BAC","Achievable at current efficiency")</f>
        <v/>
      </c>
    </row>
    <row r="22">
      <c r="A22" s="3" t="inlineStr">
        <is>
          <t>BV = BAC - EV</t>
        </is>
      </c>
      <c r="B22" s="8">
        <f>B8-B6</f>
        <v/>
      </c>
      <c r="C22" s="4" t="inlineStr">
        <is>
          <t>Work still to earn</t>
        </is>
      </c>
    </row>
  </sheetData>
  <conditionalFormatting sqref="B14:B15">
    <cfRule type="cellIs" priority="1" operator="lessThan" dxfId="0">
      <formula>1</formula>
    </cfRule>
    <cfRule type="cellIs" priority="2" operator="greaterThanOrEqual" dxfId="1">
      <formula>1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</cols>
  <sheetData>
    <row r="1" ht="48" customHeight="1">
      <c r="A1" s="1" t="inlineStr">
        <is>
          <t>Schedule and float</t>
        </is>
      </c>
    </row>
    <row r="2">
      <c r="A2" s="5" t="inlineStr">
        <is>
          <t>Enter duration, early start and late start per activity. Dates are in days from project start.</t>
        </is>
      </c>
    </row>
    <row r="4">
      <c r="A4" s="7" t="inlineStr">
        <is>
          <t>Activity</t>
        </is>
      </c>
      <c r="B4" s="7" t="inlineStr">
        <is>
          <t>Duration</t>
        </is>
      </c>
      <c r="C4" s="7" t="inlineStr">
        <is>
          <t>ES early start</t>
        </is>
      </c>
      <c r="D4" s="7" t="inlineStr">
        <is>
          <t>LS late start</t>
        </is>
      </c>
      <c r="E4" s="7" t="inlineStr">
        <is>
          <t>EF = ES + D</t>
        </is>
      </c>
      <c r="F4" s="7" t="inlineStr">
        <is>
          <t>TF = LS - ES</t>
        </is>
      </c>
      <c r="G4" s="7" t="inlineStr">
        <is>
          <t>Critical?</t>
        </is>
      </c>
    </row>
    <row r="5">
      <c r="A5" s="10" t="inlineStr">
        <is>
          <t>A</t>
        </is>
      </c>
      <c r="B5" s="10" t="n">
        <v>3</v>
      </c>
      <c r="C5" s="10" t="n">
        <v>0</v>
      </c>
      <c r="D5" s="10" t="n">
        <v>0</v>
      </c>
      <c r="E5" s="4">
        <f>C5+B5</f>
        <v/>
      </c>
      <c r="F5" s="4">
        <f>D5-C5</f>
        <v/>
      </c>
      <c r="G5" s="4">
        <f>IF(F5=0,"Critical","Float "&amp;F5)</f>
        <v/>
      </c>
    </row>
    <row r="6">
      <c r="A6" s="10" t="inlineStr">
        <is>
          <t>B</t>
        </is>
      </c>
      <c r="B6" s="10" t="n">
        <v>5</v>
      </c>
      <c r="C6" s="10" t="n">
        <v>3</v>
      </c>
      <c r="D6" s="10" t="n">
        <v>3</v>
      </c>
      <c r="E6" s="4">
        <f>C6+B6</f>
        <v/>
      </c>
      <c r="F6" s="4">
        <f>D6-C6</f>
        <v/>
      </c>
      <c r="G6" s="4">
        <f>IF(F6=0,"Critical","Float "&amp;F6)</f>
        <v/>
      </c>
    </row>
    <row r="7">
      <c r="A7" s="10" t="inlineStr">
        <is>
          <t>C</t>
        </is>
      </c>
      <c r="B7" s="10" t="n">
        <v>4</v>
      </c>
      <c r="C7" s="10" t="n">
        <v>3</v>
      </c>
      <c r="D7" s="10" t="n">
        <v>5</v>
      </c>
      <c r="E7" s="4">
        <f>C7+B7</f>
        <v/>
      </c>
      <c r="F7" s="4">
        <f>D7-C7</f>
        <v/>
      </c>
      <c r="G7" s="4">
        <f>IF(F7=0,"Critical","Float "&amp;F7)</f>
        <v/>
      </c>
    </row>
    <row r="8">
      <c r="A8" s="10" t="inlineStr">
        <is>
          <t>D</t>
        </is>
      </c>
      <c r="B8" s="10" t="n">
        <v>2</v>
      </c>
      <c r="C8" s="10" t="n">
        <v>8</v>
      </c>
      <c r="D8" s="10" t="n">
        <v>8</v>
      </c>
      <c r="E8" s="4">
        <f>C8+B8</f>
        <v/>
      </c>
      <c r="F8" s="4">
        <f>D8-C8</f>
        <v/>
      </c>
      <c r="G8" s="4">
        <f>IF(F8=0,"Critical","Float "&amp;F8)</f>
        <v/>
      </c>
    </row>
    <row r="9">
      <c r="A9" s="10" t="inlineStr">
        <is>
          <t>E</t>
        </is>
      </c>
      <c r="B9" s="10" t="n">
        <v>6</v>
      </c>
      <c r="C9" s="10" t="n">
        <v>10</v>
      </c>
      <c r="D9" s="10" t="n">
        <v>10</v>
      </c>
      <c r="E9" s="4">
        <f>C9+B9</f>
        <v/>
      </c>
      <c r="F9" s="4">
        <f>D9-C9</f>
        <v/>
      </c>
      <c r="G9" s="4">
        <f>IF(F9=0,"Critical","Float "&amp;F9)</f>
        <v/>
      </c>
    </row>
    <row r="11">
      <c r="A11" s="3" t="inlineStr">
        <is>
          <t>Project duration = max EF</t>
        </is>
      </c>
      <c r="B11" s="4">
        <f>MAX(E5:E9)</f>
        <v/>
      </c>
    </row>
    <row r="12">
      <c r="A12" s="3" t="inlineStr">
        <is>
          <t>Critical activities</t>
        </is>
      </c>
      <c r="B12" s="4">
        <f>COUNTIF(G5:G9,"Critical")</f>
        <v/>
      </c>
    </row>
  </sheetData>
  <conditionalFormatting sqref="G5:G9">
    <cfRule type="cellIs" priority="1" operator="equal" dxfId="0">
      <formula>"Critical"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4" customWidth="1" min="4" max="4"/>
    <col width="18" customWidth="1" min="5" max="5"/>
    <col width="20" customWidth="1" min="6" max="6"/>
    <col width="12" customWidth="1" min="7" max="7"/>
  </cols>
  <sheetData>
    <row r="1" ht="48" customHeight="1">
      <c r="A1" s="1" t="inlineStr">
        <is>
          <t>Risk exposure and PERT</t>
        </is>
      </c>
    </row>
    <row r="2">
      <c r="A2" s="5" t="inlineStr">
        <is>
          <t>Probability as a fraction (0.3 = 30%). Impact in currency.</t>
        </is>
      </c>
    </row>
    <row r="4">
      <c r="A4" s="7" t="inlineStr">
        <is>
          <t>Risk</t>
        </is>
      </c>
      <c r="B4" s="7" t="inlineStr">
        <is>
          <t>Probability</t>
        </is>
      </c>
      <c r="C4" s="7" t="inlineStr">
        <is>
          <t>Impact</t>
        </is>
      </c>
      <c r="D4" s="7" t="inlineStr">
        <is>
          <t>RE = P x I</t>
        </is>
      </c>
      <c r="E4" s="7" t="inlineStr">
        <is>
          <t>Detectability 1-10</t>
        </is>
      </c>
      <c r="F4" s="7" t="inlineStr">
        <is>
          <t>RPN = P x I x D</t>
        </is>
      </c>
    </row>
    <row r="5">
      <c r="A5" s="10" t="inlineStr">
        <is>
          <t>Supplier delay</t>
        </is>
      </c>
      <c r="B5" s="11" t="n">
        <v>0.3</v>
      </c>
      <c r="C5" s="6" t="n">
        <v>-40000</v>
      </c>
      <c r="D5" s="8">
        <f>B5*C5</f>
        <v/>
      </c>
      <c r="E5" s="10" t="n">
        <v>4</v>
      </c>
      <c r="F5" s="8">
        <f>ABS(D5)*E5</f>
        <v/>
      </c>
    </row>
    <row r="6">
      <c r="A6" s="10" t="inlineStr">
        <is>
          <t>Scope creep</t>
        </is>
      </c>
      <c r="B6" s="11" t="n">
        <v>0.5</v>
      </c>
      <c r="C6" s="6" t="n">
        <v>-25000</v>
      </c>
      <c r="D6" s="8">
        <f>B6*C6</f>
        <v/>
      </c>
      <c r="E6" s="10" t="n">
        <v>6</v>
      </c>
      <c r="F6" s="8">
        <f>ABS(D6)*E6</f>
        <v/>
      </c>
    </row>
    <row r="7">
      <c r="A7" s="10" t="inlineStr">
        <is>
          <t>Early delivery bonus</t>
        </is>
      </c>
      <c r="B7" s="11" t="n">
        <v>0.1</v>
      </c>
      <c r="C7" s="6" t="n">
        <v>30000</v>
      </c>
      <c r="D7" s="8">
        <f>B7*C7</f>
        <v/>
      </c>
      <c r="E7" s="10" t="n">
        <v>2</v>
      </c>
      <c r="F7" s="8">
        <f>ABS(D7)*E7</f>
        <v/>
      </c>
    </row>
    <row r="8">
      <c r="A8" s="3" t="inlineStr">
        <is>
          <t>EMV = sum of RE</t>
        </is>
      </c>
      <c r="D8" s="12">
        <f>SUM(D5:D7)</f>
        <v/>
      </c>
    </row>
    <row r="11">
      <c r="A11" s="2" t="inlineStr">
        <is>
          <t>PERT three-point estimate</t>
        </is>
      </c>
    </row>
    <row r="12">
      <c r="A12" s="7" t="inlineStr">
        <is>
          <t>Task</t>
        </is>
      </c>
      <c r="B12" s="7" t="inlineStr">
        <is>
          <t>O optimistic</t>
        </is>
      </c>
      <c r="C12" s="7" t="inlineStr">
        <is>
          <t>M most likely</t>
        </is>
      </c>
      <c r="D12" s="7" t="inlineStr">
        <is>
          <t>P pessimistic</t>
        </is>
      </c>
      <c r="E12" s="7" t="inlineStr">
        <is>
          <t>E = (O+4M+P)/6</t>
        </is>
      </c>
      <c r="F12" s="7" t="inlineStr">
        <is>
          <t>Variance ((P-O)/6)^2</t>
        </is>
      </c>
      <c r="G12" s="7" t="inlineStr">
        <is>
          <t>Std dev</t>
        </is>
      </c>
    </row>
    <row r="13">
      <c r="A13" s="10" t="inlineStr">
        <is>
          <t>Build module</t>
        </is>
      </c>
      <c r="B13" s="10" t="n">
        <v>10</v>
      </c>
      <c r="C13" s="10" t="n">
        <v>15</v>
      </c>
      <c r="D13" s="10" t="n">
        <v>26</v>
      </c>
      <c r="E13" s="13">
        <f>(B13+4*C13+D13)/6</f>
        <v/>
      </c>
      <c r="F13" s="9">
        <f>((D13-B13)/6)^2</f>
        <v/>
      </c>
      <c r="G13" s="9">
        <f>SQRT(F13)</f>
        <v/>
      </c>
    </row>
    <row r="14">
      <c r="A14" s="10" t="inlineStr">
        <is>
          <t>Test</t>
        </is>
      </c>
      <c r="B14" s="10" t="n">
        <v>4</v>
      </c>
      <c r="C14" s="10" t="n">
        <v>6</v>
      </c>
      <c r="D14" s="10" t="n">
        <v>14</v>
      </c>
      <c r="E14" s="13">
        <f>(B14+4*C14+D14)/6</f>
        <v/>
      </c>
      <c r="F14" s="9">
        <f>((D14-B14)/6)^2</f>
        <v/>
      </c>
      <c r="G14" s="9">
        <f>SQRT(F14)</f>
        <v/>
      </c>
    </row>
    <row r="15">
      <c r="A15" s="3" t="inlineStr">
        <is>
          <t>Total expected</t>
        </is>
      </c>
      <c r="E15" s="14">
        <f>SUM(E13:E14)</f>
        <v/>
      </c>
      <c r="F15" s="15">
        <f>SUM(F13:F14)</f>
        <v/>
      </c>
      <c r="G15" s="15">
        <f>SQRT(F15)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0" customWidth="1" min="3" max="3"/>
    <col width="18" customWidth="1" min="4" max="4"/>
  </cols>
  <sheetData>
    <row r="1" ht="48" customHeight="1">
      <c r="A1" s="1" t="inlineStr">
        <is>
          <t>Benefits: NPV, ROI, BCR, payback</t>
        </is>
      </c>
    </row>
    <row r="2">
      <c r="A2" s="5" t="inlineStr">
        <is>
          <t>Year 0 is the initial investment (negative). Discount rate as a fraction.</t>
        </is>
      </c>
    </row>
    <row r="4">
      <c r="A4" s="3" t="inlineStr">
        <is>
          <t>Discount rate r</t>
        </is>
      </c>
      <c r="B4" s="16" t="n">
        <v>0.08</v>
      </c>
    </row>
    <row r="6">
      <c r="A6" s="7" t="inlineStr">
        <is>
          <t>Year t</t>
        </is>
      </c>
      <c r="B6" s="7" t="inlineStr">
        <is>
          <t>Benefits</t>
        </is>
      </c>
      <c r="C6" s="7" t="inlineStr">
        <is>
          <t>Costs</t>
        </is>
      </c>
      <c r="D6" s="7" t="inlineStr">
        <is>
          <t>Discounted net</t>
        </is>
      </c>
    </row>
    <row r="7">
      <c r="A7" s="4" t="n">
        <v>0</v>
      </c>
      <c r="B7" s="6" t="n">
        <v>0</v>
      </c>
      <c r="C7" s="6" t="n">
        <v>200000</v>
      </c>
      <c r="D7" s="8">
        <f>(B7-C7)/(1+$B$4)^A7</f>
        <v/>
      </c>
    </row>
    <row r="8">
      <c r="A8" s="4" t="n">
        <v>1</v>
      </c>
      <c r="B8" s="6" t="n">
        <v>70000</v>
      </c>
      <c r="C8" s="6" t="n">
        <v>10000</v>
      </c>
      <c r="D8" s="8">
        <f>(B8-C8)/(1+$B$4)^A8</f>
        <v/>
      </c>
    </row>
    <row r="9">
      <c r="A9" s="4" t="n">
        <v>2</v>
      </c>
      <c r="B9" s="6" t="n">
        <v>90000</v>
      </c>
      <c r="C9" s="6" t="n">
        <v>10000</v>
      </c>
      <c r="D9" s="8">
        <f>(B9-C9)/(1+$B$4)^A9</f>
        <v/>
      </c>
    </row>
    <row r="10">
      <c r="A10" s="4" t="n">
        <v>3</v>
      </c>
      <c r="B10" s="6" t="n">
        <v>110000</v>
      </c>
      <c r="C10" s="6" t="n">
        <v>10000</v>
      </c>
      <c r="D10" s="8">
        <f>(B10-C10)/(1+$B$4)^A10</f>
        <v/>
      </c>
    </row>
    <row r="11">
      <c r="A11" s="4" t="n">
        <v>4</v>
      </c>
      <c r="B11" s="6" t="n">
        <v>110000</v>
      </c>
      <c r="C11" s="6" t="n">
        <v>10000</v>
      </c>
      <c r="D11" s="8">
        <f>(B11-C11)/(1+$B$4)^A11</f>
        <v/>
      </c>
    </row>
    <row r="13">
      <c r="A13" s="3" t="inlineStr">
        <is>
          <t>NPV</t>
        </is>
      </c>
      <c r="B13" s="8">
        <f>SUM(D7:D11)</f>
        <v/>
      </c>
      <c r="C13" s="4">
        <f>IF(B13&gt;0,"Accept",IF(B13=0,"Break even","Reject"))</f>
        <v/>
      </c>
    </row>
    <row r="14">
      <c r="A14" s="3" t="inlineStr">
        <is>
          <t>ROI (%) = net benefits / total investment x 100</t>
        </is>
      </c>
      <c r="B14" s="13">
        <f>(SUM(B7:B11)-SUM(C7:C11))/SUM(C7:C11)*100</f>
        <v/>
      </c>
      <c r="C14" s="4" t="inlineStr">
        <is>
          <t>Undiscounted</t>
        </is>
      </c>
    </row>
    <row r="15">
      <c r="A15" s="3" t="inlineStr">
        <is>
          <t>BCR = total benefits / total costs</t>
        </is>
      </c>
      <c r="B15" s="9">
        <f>SUM(B7:B11)/SUM(C7:C11)</f>
        <v/>
      </c>
      <c r="C15" s="4">
        <f>IF(B15&gt;1,"Benefits exceed costs","Costs exceed benefits")</f>
        <v/>
      </c>
    </row>
    <row r="16">
      <c r="A16" s="3" t="inlineStr">
        <is>
          <t>Payback (years) = investment / average annual net benefit</t>
        </is>
      </c>
      <c r="B16" s="13">
        <f>C7/((SUM(B8:B11)-SUM(C8:C11))/4)</f>
        <v/>
      </c>
      <c r="C16" s="4" t="inlineStr">
        <is>
          <t>Uses the average of years 1 to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2026-10-26T14:16:23Z</dcterms:created>
  <dcterms:modified xmlns:dcterms="http://purl.org/dc/terms/" xmlns:xsi="http://www.w3.org/2001/XMLSchema-instance" xsi:type="dcterms:W3CDTF">2026-10-26T14:16:23Z</dcterms:modified>
</cp:coreProperties>
</file>
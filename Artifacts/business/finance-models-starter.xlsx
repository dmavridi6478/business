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rofitability" sheetId="7" state="visible" r:id="rId7"/>
    <sheet xmlns:r="http://schemas.openxmlformats.org/officeDocument/2006/relationships" name="Anomaly" sheetId="8" state="visible" r:id="rId8"/>
    <sheet xmlns:r="http://schemas.openxmlformats.org/officeDocument/2006/relationships" name="Foreca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#,##0.0"/>
  </numFmts>
  <fonts count="5">
    <font>
      <name val="Calibri"/>
      <family val="2"/>
      <color theme="1"/>
      <sz val="11"/>
      <scheme val="minor"/>
    </font>
    <font>
      <name val="Aptos"/>
      <b val="1"/>
      <sz val="32"/>
    </font>
    <font>
      <name val="Aptos"/>
      <b val="1"/>
      <sz val="14"/>
    </font>
    <font>
      <name val="Aptos"/>
      <b val="1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3" fontId="4" fillId="3" borderId="1" applyAlignment="1" pivotButton="0" quotePrefix="0" xfId="0">
      <alignment horizontal="center" vertical="top" wrapText="1"/>
    </xf>
    <xf numFmtId="10" fontId="4" fillId="0" borderId="1" applyAlignment="1" pivotButton="0" quotePrefix="0" xfId="0">
      <alignment horizontal="center" vertical="top" wrapText="1"/>
    </xf>
    <xf numFmtId="164" fontId="4" fillId="3" borderId="1" applyAlignment="1" pivotButton="0" quotePrefix="0" xfId="0">
      <alignment horizontal="center" vertical="top" wrapText="1"/>
    </xf>
    <xf numFmtId="164" fontId="4" fillId="0" borderId="1" applyAlignment="1" pivotButton="0" quotePrefix="0" xfId="0">
      <alignment horizontal="center" vertical="top" wrapText="1"/>
    </xf>
    <xf numFmtId="3" fontId="4" fillId="0" borderId="1" applyAlignment="1" pivotButton="0" quotePrefix="0" xfId="0">
      <alignment horizontal="center" vertical="top" wrapText="1"/>
    </xf>
    <xf numFmtId="3" fontId="3" fillId="0" borderId="1" applyAlignment="1" pivotButton="0" quotePrefix="0" xfId="0">
      <alignment horizontal="center" vertical="top" wrapText="1"/>
    </xf>
    <xf numFmtId="165" fontId="4" fillId="0" borderId="1" applyAlignment="1" pivotButton="0" quotePrefix="0" xfId="0">
      <alignment horizontal="center" vertical="top" wrapText="1"/>
    </xf>
    <xf numFmtId="2" fontId="4" fillId="0" borderId="1" applyAlignment="1" pivotButton="0" quotePrefix="0" xfId="0">
      <alignment horizontal="center" vertical="top" wrapText="1"/>
    </xf>
    <xf numFmtId="166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1">
    <dxf>
      <fill>
        <patternFill patternType="solid"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'Scenarios'!B18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'Scenarios'!$A$19:$A$30</f>
            </numRef>
          </cat>
          <val>
            <numRef>
              <f>'Scenarios'!$B$19:$B$30</f>
            </numRef>
          </val>
        </ser>
        <ser>
          <idx val="1"/>
          <order val="1"/>
          <tx>
            <strRef>
              <f>'Scenarios'!C18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'Scenarios'!$A$19:$A$30</f>
            </numRef>
          </cat>
          <val>
            <numRef>
              <f>'Scenarios'!$C$19:$C$30</f>
            </numRef>
          </val>
        </ser>
        <ser>
          <idx val="2"/>
          <order val="2"/>
          <tx>
            <strRef>
              <f>'Scenarios'!D18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'Scenarios'!$A$19:$A$30</f>
            </numRef>
          </cat>
          <val>
            <numRef>
              <f>'Scenarios'!$D$19:$D$30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and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'Forecast'!$A$5:$A$22</f>
            </numRef>
          </cat>
          <val>
            <numRef>
              <f>'Forecast'!$B$5:$B$22</f>
            </numRef>
          </val>
        </ser>
        <ser>
          <idx val="1"/>
          <order val="1"/>
          <tx>
            <strRef>
              <f>'Forecast'!C4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'Forecast'!$A$5:$A$22</f>
            </numRef>
          </cat>
          <val>
            <numRef>
              <f>'Forecast'!$C$5:$C$22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8" customHeight="1">
      <c r="A1" s="1" t="inlineStr">
        <is>
          <t>Finance models starter</t>
        </is>
      </c>
    </row>
    <row r="3">
      <c r="A3" s="2" t="inlineStr">
        <is>
          <t>Sheets and the prompt each implements</t>
        </is>
      </c>
    </row>
    <row r="4">
      <c r="A4" s="3" t="inlineStr">
        <is>
          <t>Yellow cells</t>
        </is>
      </c>
      <c r="B4" s="4" t="inlineStr">
        <is>
          <t>Inputs. Everything else is a formula; sample numbers are illustrative.</t>
        </is>
      </c>
    </row>
    <row r="5">
      <c r="A5" s="3" t="inlineStr">
        <is>
          <t>Orders / Customers</t>
        </is>
      </c>
      <c r="B5" s="4" t="inlineStr">
        <is>
          <t>Prompt 1: fetch a customer name by sales order (INDEX and MATCH; XLOOKUP also works in current Excel).</t>
        </is>
      </c>
    </row>
    <row r="6">
      <c r="A6" s="3" t="inlineStr">
        <is>
          <t>CAGR</t>
        </is>
      </c>
      <c r="B6" s="4" t="inlineStr">
        <is>
          <t>Prompt 2: compound annual growth rate from a revenue range.</t>
        </is>
      </c>
    </row>
    <row r="7">
      <c r="A7" s="3" t="inlineStr">
        <is>
          <t>Scenarios</t>
        </is>
      </c>
      <c r="B7" s="4" t="inlineStr">
        <is>
          <t>Prompt 4: three scenarios from an assumptions block, with a comparison chart.</t>
        </is>
      </c>
    </row>
    <row r="8">
      <c r="A8" s="3" t="inlineStr">
        <is>
          <t>DCF</t>
        </is>
      </c>
      <c r="B8" s="4" t="inlineStr">
        <is>
          <t>Prompt 6: inputs, projection, terminal value, enterprise value.</t>
        </is>
      </c>
    </row>
    <row r="9">
      <c r="A9" s="3" t="inlineStr">
        <is>
          <t>Profitability</t>
        </is>
      </c>
      <c r="B9" s="4" t="inlineStr">
        <is>
          <t>Prompt 8: assumptions drive revenue, COGS, gross profit, operating expenses and net profit (before tax and interest).</t>
        </is>
      </c>
    </row>
    <row r="10">
      <c r="A10" s="3" t="inlineStr">
        <is>
          <t>Anomaly</t>
        </is>
      </c>
      <c r="B10" s="4" t="inlineStr">
        <is>
          <t>Prompt 7: flag transactions more than X standard deviations from the mean.</t>
        </is>
      </c>
    </row>
    <row r="11">
      <c r="A11" s="3" t="inlineStr">
        <is>
          <t>Forecast</t>
        </is>
      </c>
      <c r="B11" s="4" t="inlineStr">
        <is>
          <t>Prompt 9: linear forecast of the next 6 months with a chart.</t>
        </is>
      </c>
    </row>
    <row r="12">
      <c r="A12" s="3" t="inlineStr">
        <is>
          <t>Check</t>
        </is>
      </c>
      <c r="B12" s="4" t="inlineStr">
        <is>
          <t>A model that calculates is not a model that is right: review every assumption and formula before sharing.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 ht="48" customHeight="1">
      <c r="A1" s="1" t="inlineStr">
        <is>
          <t>Orders</t>
        </is>
      </c>
    </row>
    <row r="2">
      <c r="A2" s="5" t="inlineStr">
        <is>
          <t>Column C fetches the customer name from the Customers sheet using the sales order as key.</t>
        </is>
      </c>
    </row>
    <row r="4">
      <c r="A4" s="6" t="inlineStr">
        <is>
          <t>Sales order</t>
        </is>
      </c>
      <c r="B4" s="6" t="inlineStr">
        <is>
          <t>Order amount</t>
        </is>
      </c>
      <c r="C4" s="6" t="inlineStr">
        <is>
          <t>Customer (lookup)</t>
        </is>
      </c>
    </row>
    <row r="5">
      <c r="A5" s="7" t="inlineStr">
        <is>
          <t>SO-1001</t>
        </is>
      </c>
      <c r="B5" s="8" t="n">
        <v>1200</v>
      </c>
      <c r="C5" s="4">
        <f>IFERROR(INDEX(Customers!$B$5:$B$9,MATCH(A5,Customers!$A$5:$A$9,0)),"not found")</f>
        <v/>
      </c>
    </row>
    <row r="6">
      <c r="A6" s="7" t="inlineStr">
        <is>
          <t>SO-1002</t>
        </is>
      </c>
      <c r="B6" s="8" t="n">
        <v>450</v>
      </c>
      <c r="C6" s="4">
        <f>IFERROR(INDEX(Customers!$B$5:$B$9,MATCH(A6,Customers!$A$5:$A$9,0)),"not found")</f>
        <v/>
      </c>
    </row>
    <row r="7">
      <c r="A7" s="7" t="inlineStr">
        <is>
          <t>SO-1003</t>
        </is>
      </c>
      <c r="B7" s="8" t="n">
        <v>980</v>
      </c>
      <c r="C7" s="4">
        <f>IFERROR(INDEX(Customers!$B$5:$B$9,MATCH(A7,Customers!$A$5:$A$9,0)),"not found")</f>
        <v/>
      </c>
    </row>
    <row r="8">
      <c r="A8" s="7" t="inlineStr">
        <is>
          <t>SO-1004</t>
        </is>
      </c>
      <c r="B8" s="8" t="n">
        <v>75</v>
      </c>
      <c r="C8" s="4">
        <f>IFERROR(INDEX(Customers!$B$5:$B$9,MATCH(A8,Customers!$A$5:$A$9,0)),"not found")</f>
        <v/>
      </c>
    </row>
    <row r="9">
      <c r="A9" s="7" t="inlineStr">
        <is>
          <t>SO-9999</t>
        </is>
      </c>
      <c r="B9" s="8" t="n">
        <v>300</v>
      </c>
      <c r="C9" s="4">
        <f>IFERROR(INDEX(Customers!$B$5:$B$9,MATCH(A9,Customers!$A$5:$A$9,0)),"not found")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</cols>
  <sheetData>
    <row r="1" ht="48" customHeight="1">
      <c r="A1" s="1" t="inlineStr">
        <is>
          <t>Customers</t>
        </is>
      </c>
    </row>
    <row r="2">
      <c r="A2" s="5" t="inlineStr">
        <is>
          <t>Sales orders with customer names and dates.</t>
        </is>
      </c>
    </row>
    <row r="4">
      <c r="A4" s="6" t="inlineStr">
        <is>
          <t>Sales order</t>
        </is>
      </c>
      <c r="B4" s="6" t="inlineStr">
        <is>
          <t>Customer</t>
        </is>
      </c>
      <c r="C4" s="6" t="inlineStr">
        <is>
          <t>Date</t>
        </is>
      </c>
    </row>
    <row r="5">
      <c r="A5" s="7" t="inlineStr">
        <is>
          <t>SO-1001</t>
        </is>
      </c>
      <c r="B5" s="7" t="inlineStr">
        <is>
          <t>Alder Ltd</t>
        </is>
      </c>
      <c r="C5" s="7" t="inlineStr">
        <is>
          <t>2026-01-12</t>
        </is>
      </c>
    </row>
    <row r="6">
      <c r="A6" s="7" t="inlineStr">
        <is>
          <t>SO-1002</t>
        </is>
      </c>
      <c r="B6" s="7" t="inlineStr">
        <is>
          <t>Birch SA</t>
        </is>
      </c>
      <c r="C6" s="7" t="inlineStr">
        <is>
          <t>2026-01-19</t>
        </is>
      </c>
    </row>
    <row r="7">
      <c r="A7" s="7" t="inlineStr">
        <is>
          <t>SO-1003</t>
        </is>
      </c>
      <c r="B7" s="7" t="inlineStr">
        <is>
          <t>Cedar GmbH</t>
        </is>
      </c>
      <c r="C7" s="7" t="inlineStr">
        <is>
          <t>2026-02-02</t>
        </is>
      </c>
    </row>
    <row r="8">
      <c r="A8" s="7" t="inlineStr">
        <is>
          <t>SO-1004</t>
        </is>
      </c>
      <c r="B8" s="7" t="inlineStr">
        <is>
          <t>Alder Ltd</t>
        </is>
      </c>
      <c r="C8" s="7" t="inlineStr">
        <is>
          <t>2026-02-09</t>
        </is>
      </c>
    </row>
    <row r="9">
      <c r="A9" s="7" t="inlineStr">
        <is>
          <t>SO-1005</t>
        </is>
      </c>
      <c r="B9" s="7" t="inlineStr">
        <is>
          <t>Elm BV</t>
        </is>
      </c>
      <c r="C9" s="7" t="inlineStr">
        <is>
          <t>2026-02-16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48" customHeight="1">
      <c r="A1" s="1" t="inlineStr">
        <is>
          <t>CAGR</t>
        </is>
      </c>
    </row>
    <row r="2">
      <c r="A2" s="5" t="inlineStr">
        <is>
          <t>Annual revenue in column B; CAGR = (last / first) ^ (1 / years) - 1.</t>
        </is>
      </c>
    </row>
    <row r="4">
      <c r="A4" s="6" t="inlineStr">
        <is>
          <t>Year</t>
        </is>
      </c>
      <c r="B4" s="6" t="inlineStr">
        <is>
          <t>Revenue</t>
        </is>
      </c>
    </row>
    <row r="5">
      <c r="A5" s="7" t="n">
        <v>2022</v>
      </c>
      <c r="B5" s="8" t="n">
        <v>400000</v>
      </c>
    </row>
    <row r="6">
      <c r="A6" s="7" t="n">
        <v>2023</v>
      </c>
      <c r="B6" s="8" t="n">
        <v>460000</v>
      </c>
    </row>
    <row r="7">
      <c r="A7" s="7" t="n">
        <v>2024</v>
      </c>
      <c r="B7" s="8" t="n">
        <v>515000</v>
      </c>
    </row>
    <row r="8">
      <c r="A8" s="7" t="n">
        <v>2025</v>
      </c>
      <c r="B8" s="8" t="n">
        <v>590000</v>
      </c>
    </row>
    <row r="9">
      <c r="A9" s="7" t="n">
        <v>2026</v>
      </c>
      <c r="B9" s="8" t="n">
        <v>650000</v>
      </c>
    </row>
    <row r="11">
      <c r="A11" s="3" t="inlineStr">
        <is>
          <t>Years between</t>
        </is>
      </c>
      <c r="B11" s="4">
        <f>A9-A5</f>
        <v/>
      </c>
    </row>
    <row r="12">
      <c r="A12" s="3" t="inlineStr">
        <is>
          <t>CAGR</t>
        </is>
      </c>
      <c r="B12" s="9">
        <f>(B9/B5)^(1/B11)-1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48" customHeight="1">
      <c r="A1" s="1" t="inlineStr">
        <is>
          <t>Scenario planning</t>
        </is>
      </c>
    </row>
    <row r="2">
      <c r="A2" s="5" t="inlineStr">
        <is>
          <t>Three products, three scenarios, 12 months. Change the yellow cells.</t>
        </is>
      </c>
    </row>
    <row r="4">
      <c r="A4" s="2" t="inlineStr">
        <is>
          <t>Assumptions</t>
        </is>
      </c>
    </row>
    <row r="5">
      <c r="A5" s="6" t="inlineStr">
        <is>
          <t>Product</t>
        </is>
      </c>
      <c r="B5" s="6" t="inlineStr">
        <is>
          <t>Start customers</t>
        </is>
      </c>
      <c r="C5" s="6" t="inlineStr">
        <is>
          <t>Monthly price</t>
        </is>
      </c>
    </row>
    <row r="6">
      <c r="A6" s="7" t="inlineStr">
        <is>
          <t>Product A</t>
        </is>
      </c>
      <c r="B6" s="8" t="n">
        <v>200</v>
      </c>
      <c r="C6" s="8" t="n">
        <v>49</v>
      </c>
    </row>
    <row r="7">
      <c r="A7" s="7" t="inlineStr">
        <is>
          <t>Product B</t>
        </is>
      </c>
      <c r="B7" s="8" t="n">
        <v>120</v>
      </c>
      <c r="C7" s="8" t="n">
        <v>99</v>
      </c>
    </row>
    <row r="8">
      <c r="A8" s="7" t="inlineStr">
        <is>
          <t>Product C</t>
        </is>
      </c>
      <c r="B8" s="8" t="n">
        <v>60</v>
      </c>
      <c r="C8" s="8" t="n">
        <v>199</v>
      </c>
    </row>
    <row r="10">
      <c r="A10" s="6" t="inlineStr">
        <is>
          <t>Scenario</t>
        </is>
      </c>
      <c r="B10" s="6" t="inlineStr">
        <is>
          <t>Monthly growth</t>
        </is>
      </c>
      <c r="C10" s="6" t="inlineStr">
        <is>
          <t>Monthly churn</t>
        </is>
      </c>
      <c r="D10" s="6" t="inlineStr">
        <is>
          <t>Net monthly rate</t>
        </is>
      </c>
    </row>
    <row r="11">
      <c r="A11" s="4" t="inlineStr">
        <is>
          <t>Base</t>
        </is>
      </c>
      <c r="B11" s="10" t="n">
        <v>0.04</v>
      </c>
      <c r="C11" s="10" t="n">
        <v>0.02</v>
      </c>
      <c r="D11" s="11">
        <f>B11-C11</f>
        <v/>
      </c>
    </row>
    <row r="12">
      <c r="A12" s="4" t="inlineStr">
        <is>
          <t>Upside</t>
        </is>
      </c>
      <c r="B12" s="10" t="n">
        <v>0.07000000000000001</v>
      </c>
      <c r="C12" s="10" t="n">
        <v>0.015</v>
      </c>
      <c r="D12" s="11">
        <f>B12-C12</f>
        <v/>
      </c>
    </row>
    <row r="13">
      <c r="A13" s="4" t="inlineStr">
        <is>
          <t>Downside</t>
        </is>
      </c>
      <c r="B13" s="10" t="n">
        <v>0.02</v>
      </c>
      <c r="C13" s="10" t="n">
        <v>0.04</v>
      </c>
      <c r="D13" s="11">
        <f>B13-C13</f>
        <v/>
      </c>
    </row>
    <row r="15">
      <c r="A15" s="3" t="inlineStr">
        <is>
          <t>Month-0 revenue</t>
        </is>
      </c>
      <c r="B15" s="12">
        <f>SUMPRODUCT(B6:B8,C6:C8)</f>
        <v/>
      </c>
    </row>
    <row r="17">
      <c r="A17" s="2" t="inlineStr">
        <is>
          <t>Monthly revenue by scenario</t>
        </is>
      </c>
    </row>
    <row r="18">
      <c r="A18" s="6" t="inlineStr">
        <is>
          <t>Month</t>
        </is>
      </c>
      <c r="B18" s="6" t="inlineStr">
        <is>
          <t>Base</t>
        </is>
      </c>
      <c r="C18" s="6" t="inlineStr">
        <is>
          <t>Upside</t>
        </is>
      </c>
      <c r="D18" s="6" t="inlineStr">
        <is>
          <t>Downside</t>
        </is>
      </c>
    </row>
    <row r="19">
      <c r="A19" s="4" t="n">
        <v>1</v>
      </c>
      <c r="B19" s="12">
        <f>$B$15*(1+$D$11)^$A19</f>
        <v/>
      </c>
      <c r="C19" s="12">
        <f>$B$15*(1+$D$12)^$A19</f>
        <v/>
      </c>
      <c r="D19" s="12">
        <f>$B$15*(1+$D$13)^$A19</f>
        <v/>
      </c>
    </row>
    <row r="20">
      <c r="A20" s="4" t="n">
        <v>2</v>
      </c>
      <c r="B20" s="12">
        <f>$B$15*(1+$D$11)^$A20</f>
        <v/>
      </c>
      <c r="C20" s="12">
        <f>$B$15*(1+$D$12)^$A20</f>
        <v/>
      </c>
      <c r="D20" s="12">
        <f>$B$15*(1+$D$13)^$A20</f>
        <v/>
      </c>
    </row>
    <row r="21">
      <c r="A21" s="4" t="n">
        <v>3</v>
      </c>
      <c r="B21" s="12">
        <f>$B$15*(1+$D$11)^$A21</f>
        <v/>
      </c>
      <c r="C21" s="12">
        <f>$B$15*(1+$D$12)^$A21</f>
        <v/>
      </c>
      <c r="D21" s="12">
        <f>$B$15*(1+$D$13)^$A21</f>
        <v/>
      </c>
    </row>
    <row r="22">
      <c r="A22" s="4" t="n">
        <v>4</v>
      </c>
      <c r="B22" s="12">
        <f>$B$15*(1+$D$11)^$A22</f>
        <v/>
      </c>
      <c r="C22" s="12">
        <f>$B$15*(1+$D$12)^$A22</f>
        <v/>
      </c>
      <c r="D22" s="12">
        <f>$B$15*(1+$D$13)^$A22</f>
        <v/>
      </c>
    </row>
    <row r="23">
      <c r="A23" s="4" t="n">
        <v>5</v>
      </c>
      <c r="B23" s="12">
        <f>$B$15*(1+$D$11)^$A23</f>
        <v/>
      </c>
      <c r="C23" s="12">
        <f>$B$15*(1+$D$12)^$A23</f>
        <v/>
      </c>
      <c r="D23" s="12">
        <f>$B$15*(1+$D$13)^$A23</f>
        <v/>
      </c>
    </row>
    <row r="24">
      <c r="A24" s="4" t="n">
        <v>6</v>
      </c>
      <c r="B24" s="12">
        <f>$B$15*(1+$D$11)^$A24</f>
        <v/>
      </c>
      <c r="C24" s="12">
        <f>$B$15*(1+$D$12)^$A24</f>
        <v/>
      </c>
      <c r="D24" s="12">
        <f>$B$15*(1+$D$13)^$A24</f>
        <v/>
      </c>
    </row>
    <row r="25">
      <c r="A25" s="4" t="n">
        <v>7</v>
      </c>
      <c r="B25" s="12">
        <f>$B$15*(1+$D$11)^$A25</f>
        <v/>
      </c>
      <c r="C25" s="12">
        <f>$B$15*(1+$D$12)^$A25</f>
        <v/>
      </c>
      <c r="D25" s="12">
        <f>$B$15*(1+$D$13)^$A25</f>
        <v/>
      </c>
    </row>
    <row r="26">
      <c r="A26" s="4" t="n">
        <v>8</v>
      </c>
      <c r="B26" s="12">
        <f>$B$15*(1+$D$11)^$A26</f>
        <v/>
      </c>
      <c r="C26" s="12">
        <f>$B$15*(1+$D$12)^$A26</f>
        <v/>
      </c>
      <c r="D26" s="12">
        <f>$B$15*(1+$D$13)^$A26</f>
        <v/>
      </c>
    </row>
    <row r="27">
      <c r="A27" s="4" t="n">
        <v>9</v>
      </c>
      <c r="B27" s="12">
        <f>$B$15*(1+$D$11)^$A27</f>
        <v/>
      </c>
      <c r="C27" s="12">
        <f>$B$15*(1+$D$12)^$A27</f>
        <v/>
      </c>
      <c r="D27" s="12">
        <f>$B$15*(1+$D$13)^$A27</f>
        <v/>
      </c>
    </row>
    <row r="28">
      <c r="A28" s="4" t="n">
        <v>10</v>
      </c>
      <c r="B28" s="12">
        <f>$B$15*(1+$D$11)^$A28</f>
        <v/>
      </c>
      <c r="C28" s="12">
        <f>$B$15*(1+$D$12)^$A28</f>
        <v/>
      </c>
      <c r="D28" s="12">
        <f>$B$15*(1+$D$13)^$A28</f>
        <v/>
      </c>
    </row>
    <row r="29">
      <c r="A29" s="4" t="n">
        <v>11</v>
      </c>
      <c r="B29" s="12">
        <f>$B$15*(1+$D$11)^$A29</f>
        <v/>
      </c>
      <c r="C29" s="12">
        <f>$B$15*(1+$D$12)^$A29</f>
        <v/>
      </c>
      <c r="D29" s="12">
        <f>$B$15*(1+$D$13)^$A29</f>
        <v/>
      </c>
    </row>
    <row r="30">
      <c r="A30" s="4" t="n">
        <v>12</v>
      </c>
      <c r="B30" s="12">
        <f>$B$15*(1+$D$11)^$A30</f>
        <v/>
      </c>
      <c r="C30" s="12">
        <f>$B$15*(1+$D$12)^$A30</f>
        <v/>
      </c>
      <c r="D30" s="12">
        <f>$B$15*(1+$D$13)^$A30</f>
        <v/>
      </c>
    </row>
    <row r="32">
      <c r="A32" s="3" t="inlineStr">
        <is>
          <t>12-month total</t>
        </is>
      </c>
      <c r="B32" s="13">
        <f>SUM(B19:B30)</f>
        <v/>
      </c>
      <c r="C32" s="13">
        <f>SUM(C19:C30)</f>
        <v/>
      </c>
      <c r="D32" s="13">
        <f>SUM(D19:D30)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8" customWidth="1" min="7" max="7"/>
  </cols>
  <sheetData>
    <row r="1" ht="48" customHeight="1">
      <c r="A1" s="1" t="inlineStr">
        <is>
          <t>DCF model</t>
        </is>
      </c>
    </row>
    <row r="2">
      <c r="A2" s="5" t="inlineStr">
        <is>
          <t>All assumptions are in the yellow block; the model below only reads them.</t>
        </is>
      </c>
    </row>
    <row r="4">
      <c r="A4" s="2" t="inlineStr">
        <is>
          <t>Inputs</t>
        </is>
      </c>
    </row>
    <row r="5">
      <c r="A5" s="3" t="inlineStr">
        <is>
          <t>Base revenue (year 0)</t>
        </is>
      </c>
      <c r="B5" s="8" t="n">
        <v>1000000</v>
      </c>
    </row>
    <row r="6">
      <c r="A6" s="3" t="inlineStr">
        <is>
          <t>Annual revenue growth</t>
        </is>
      </c>
      <c r="B6" s="10" t="n">
        <v>0.08</v>
      </c>
    </row>
    <row r="7">
      <c r="A7" s="3" t="inlineStr">
        <is>
          <t>Costs as % of revenue</t>
        </is>
      </c>
      <c r="B7" s="10" t="n">
        <v>0.7</v>
      </c>
    </row>
    <row r="8">
      <c r="A8" s="3" t="inlineStr">
        <is>
          <t>Tax rate</t>
        </is>
      </c>
      <c r="B8" s="10" t="n">
        <v>0.25</v>
      </c>
    </row>
    <row r="9">
      <c r="A9" s="3" t="inlineStr">
        <is>
          <t>Reinvestment as % of revenue</t>
        </is>
      </c>
      <c r="B9" s="10" t="n">
        <v>0.03</v>
      </c>
    </row>
    <row r="10">
      <c r="A10" s="3" t="inlineStr">
        <is>
          <t>WACC</t>
        </is>
      </c>
      <c r="B10" s="10" t="n">
        <v>0.1</v>
      </c>
    </row>
    <row r="11">
      <c r="A11" s="3" t="inlineStr">
        <is>
          <t>Terminal growth</t>
        </is>
      </c>
      <c r="B11" s="10" t="n">
        <v>0.02</v>
      </c>
    </row>
    <row r="13">
      <c r="A13" s="2" t="inlineStr">
        <is>
          <t>Projection</t>
        </is>
      </c>
    </row>
    <row r="14">
      <c r="A14" s="6" t="inlineStr">
        <is>
          <t>Line</t>
        </is>
      </c>
      <c r="B14" s="6" t="inlineStr">
        <is>
          <t>Year 1</t>
        </is>
      </c>
      <c r="C14" s="6" t="inlineStr">
        <is>
          <t>Year 2</t>
        </is>
      </c>
      <c r="D14" s="6" t="inlineStr">
        <is>
          <t>Year 3</t>
        </is>
      </c>
      <c r="E14" s="6" t="inlineStr">
        <is>
          <t>Year 4</t>
        </is>
      </c>
      <c r="F14" s="6" t="inlineStr">
        <is>
          <t>Year 5</t>
        </is>
      </c>
      <c r="G14" s="6" t="inlineStr">
        <is>
          <t>Notes</t>
        </is>
      </c>
    </row>
    <row r="15">
      <c r="A15" s="3" t="inlineStr">
        <is>
          <t>Revenue</t>
        </is>
      </c>
      <c r="B15" s="12">
        <f>$B$5*(1+$B$6)</f>
        <v/>
      </c>
      <c r="C15" s="12">
        <f>B15*(1+$B$6)</f>
        <v/>
      </c>
      <c r="D15" s="12">
        <f>C15*(1+$B$6)</f>
        <v/>
      </c>
      <c r="E15" s="12">
        <f>D15*(1+$B$6)</f>
        <v/>
      </c>
      <c r="F15" s="12">
        <f>E15*(1+$B$6)</f>
        <v/>
      </c>
    </row>
    <row r="16">
      <c r="A16" s="3" t="inlineStr">
        <is>
          <t>Costs</t>
        </is>
      </c>
      <c r="B16" s="12">
        <f>B15*$B$7</f>
        <v/>
      </c>
      <c r="C16" s="12">
        <f>C15*$B$7</f>
        <v/>
      </c>
      <c r="D16" s="12">
        <f>D15*$B$7</f>
        <v/>
      </c>
      <c r="E16" s="12">
        <f>E15*$B$7</f>
        <v/>
      </c>
      <c r="F16" s="12">
        <f>F15*$B$7</f>
        <v/>
      </c>
    </row>
    <row r="17">
      <c r="A17" s="3" t="inlineStr">
        <is>
          <t>Operating profit</t>
        </is>
      </c>
      <c r="B17" s="12">
        <f>B15-B16</f>
        <v/>
      </c>
      <c r="C17" s="12">
        <f>C15-C16</f>
        <v/>
      </c>
      <c r="D17" s="12">
        <f>D15-D16</f>
        <v/>
      </c>
      <c r="E17" s="12">
        <f>E15-E16</f>
        <v/>
      </c>
      <c r="F17" s="12">
        <f>F15-F16</f>
        <v/>
      </c>
    </row>
    <row r="18">
      <c r="A18" s="3" t="inlineStr">
        <is>
          <t>Tax</t>
        </is>
      </c>
      <c r="B18" s="12">
        <f>B17*$B$8</f>
        <v/>
      </c>
      <c r="C18" s="12">
        <f>C17*$B$8</f>
        <v/>
      </c>
      <c r="D18" s="12">
        <f>D17*$B$8</f>
        <v/>
      </c>
      <c r="E18" s="12">
        <f>E17*$B$8</f>
        <v/>
      </c>
      <c r="F18" s="12">
        <f>F17*$B$8</f>
        <v/>
      </c>
    </row>
    <row r="19">
      <c r="A19" s="3" t="inlineStr">
        <is>
          <t>Reinvestment</t>
        </is>
      </c>
      <c r="B19" s="12">
        <f>B15*$B$9</f>
        <v/>
      </c>
      <c r="C19" s="12">
        <f>C15*$B$9</f>
        <v/>
      </c>
      <c r="D19" s="12">
        <f>D15*$B$9</f>
        <v/>
      </c>
      <c r="E19" s="12">
        <f>E15*$B$9</f>
        <v/>
      </c>
      <c r="F19" s="12">
        <f>F15*$B$9</f>
        <v/>
      </c>
    </row>
    <row r="20">
      <c r="A20" s="3" t="inlineStr">
        <is>
          <t>Free cash flow</t>
        </is>
      </c>
      <c r="B20" s="12">
        <f>B17-B18-B19</f>
        <v/>
      </c>
      <c r="C20" s="12">
        <f>C17-C18-C19</f>
        <v/>
      </c>
      <c r="D20" s="12">
        <f>D17-D18-D19</f>
        <v/>
      </c>
      <c r="E20" s="12">
        <f>E17-E18-E19</f>
        <v/>
      </c>
      <c r="F20" s="12">
        <f>F17-F18-F19</f>
        <v/>
      </c>
      <c r="G20" s="4" t="inlineStr">
        <is>
          <t>FCF = operating profit - tax - reinvestment</t>
        </is>
      </c>
    </row>
    <row r="21">
      <c r="A21" s="3" t="inlineStr">
        <is>
          <t>Discount factor</t>
        </is>
      </c>
      <c r="B21" s="14">
        <f>1/(1+$B$10)^1</f>
        <v/>
      </c>
      <c r="C21" s="14">
        <f>1/(1+$B$10)^2</f>
        <v/>
      </c>
      <c r="D21" s="14">
        <f>1/(1+$B$10)^3</f>
        <v/>
      </c>
      <c r="E21" s="14">
        <f>1/(1+$B$10)^4</f>
        <v/>
      </c>
      <c r="F21" s="14">
        <f>1/(1+$B$10)^5</f>
        <v/>
      </c>
    </row>
    <row r="22">
      <c r="A22" s="3" t="inlineStr">
        <is>
          <t>PV of FCF</t>
        </is>
      </c>
      <c r="B22" s="12">
        <f>B20*B21</f>
        <v/>
      </c>
      <c r="C22" s="12">
        <f>C20*C21</f>
        <v/>
      </c>
      <c r="D22" s="12">
        <f>D20*D21</f>
        <v/>
      </c>
      <c r="E22" s="12">
        <f>E20*E21</f>
        <v/>
      </c>
      <c r="F22" s="12">
        <f>F20*F21</f>
        <v/>
      </c>
    </row>
    <row r="24">
      <c r="A24" s="3" t="inlineStr">
        <is>
          <t>Sum of PV of FCF</t>
        </is>
      </c>
      <c r="B24" s="12">
        <f>SUM(B22:F22)</f>
        <v/>
      </c>
    </row>
    <row r="25">
      <c r="A25" s="3" t="inlineStr">
        <is>
          <t>Terminal value (year 5)</t>
        </is>
      </c>
      <c r="B25" s="12">
        <f>F20*(1+B11)/(B10-B11)</f>
        <v/>
      </c>
    </row>
    <row r="26">
      <c r="A26" s="3" t="inlineStr">
        <is>
          <t>PV of terminal value</t>
        </is>
      </c>
      <c r="B26" s="12">
        <f>B25*F21</f>
        <v/>
      </c>
    </row>
    <row r="27">
      <c r="A27" s="3" t="inlineStr">
        <is>
          <t>Enterprise value</t>
        </is>
      </c>
      <c r="B27" s="13">
        <f>B24+B26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8" customHeight="1">
      <c r="A1" s="1" t="inlineStr">
        <is>
          <t>Profitability projection</t>
        </is>
      </c>
    </row>
    <row r="2">
      <c r="A2" s="5" t="inlineStr">
        <is>
          <t>Net profit here is gross profit minus operating expenses (before tax and interest).</t>
        </is>
      </c>
    </row>
    <row r="4">
      <c r="A4" s="2" t="inlineStr">
        <is>
          <t>Assumptions</t>
        </is>
      </c>
    </row>
    <row r="5">
      <c r="A5" s="3" t="inlineStr">
        <is>
          <t>Year 1 revenue</t>
        </is>
      </c>
      <c r="B5" s="8" t="n">
        <v>500000</v>
      </c>
    </row>
    <row r="6">
      <c r="A6" s="3" t="inlineStr">
        <is>
          <t>Annual revenue growth rate</t>
        </is>
      </c>
      <c r="B6" s="10" t="n">
        <v>0.12</v>
      </c>
    </row>
    <row r="7">
      <c r="A7" s="3" t="inlineStr">
        <is>
          <t>COGS as % of revenue</t>
        </is>
      </c>
      <c r="B7" s="10" t="n">
        <v>0.55</v>
      </c>
    </row>
    <row r="8">
      <c r="A8" s="3" t="inlineStr">
        <is>
          <t>Fixed operating expenses per year</t>
        </is>
      </c>
      <c r="B8" s="8" t="n">
        <v>90000</v>
      </c>
    </row>
    <row r="11">
      <c r="A11" s="6" t="inlineStr">
        <is>
          <t>Line</t>
        </is>
      </c>
      <c r="B11" s="6" t="inlineStr">
        <is>
          <t>Year 1</t>
        </is>
      </c>
      <c r="C11" s="6" t="inlineStr">
        <is>
          <t>Year 2</t>
        </is>
      </c>
      <c r="D11" s="6" t="inlineStr">
        <is>
          <t>Year 3</t>
        </is>
      </c>
      <c r="E11" s="6" t="inlineStr">
        <is>
          <t>Year 4</t>
        </is>
      </c>
      <c r="F11" s="6" t="inlineStr">
        <is>
          <t>Year 5</t>
        </is>
      </c>
    </row>
    <row r="12">
      <c r="A12" s="3" t="inlineStr">
        <is>
          <t>Revenue</t>
        </is>
      </c>
      <c r="B12" s="12">
        <f>$B$5</f>
        <v/>
      </c>
      <c r="C12" s="12">
        <f>B12*(1+$B$6)</f>
        <v/>
      </c>
      <c r="D12" s="12">
        <f>C12*(1+$B$6)</f>
        <v/>
      </c>
      <c r="E12" s="12">
        <f>D12*(1+$B$6)</f>
        <v/>
      </c>
      <c r="F12" s="12">
        <f>E12*(1+$B$6)</f>
        <v/>
      </c>
    </row>
    <row r="13">
      <c r="A13" s="3" t="inlineStr">
        <is>
          <t>COGS</t>
        </is>
      </c>
      <c r="B13" s="12">
        <f>B12*$B$7</f>
        <v/>
      </c>
      <c r="C13" s="12">
        <f>C12*$B$7</f>
        <v/>
      </c>
      <c r="D13" s="12">
        <f>D12*$B$7</f>
        <v/>
      </c>
      <c r="E13" s="12">
        <f>E12*$B$7</f>
        <v/>
      </c>
      <c r="F13" s="12">
        <f>F12*$B$7</f>
        <v/>
      </c>
    </row>
    <row r="14">
      <c r="A14" s="3" t="inlineStr">
        <is>
          <t>Gross profit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</row>
    <row r="15">
      <c r="A15" s="3" t="inlineStr">
        <is>
          <t>Operating expenses</t>
        </is>
      </c>
      <c r="B15" s="12">
        <f>$B$8</f>
        <v/>
      </c>
      <c r="C15" s="12">
        <f>$B$8</f>
        <v/>
      </c>
      <c r="D15" s="12">
        <f>$B$8</f>
        <v/>
      </c>
      <c r="E15" s="12">
        <f>$B$8</f>
        <v/>
      </c>
      <c r="F15" s="12">
        <f>$B$8</f>
        <v/>
      </c>
    </row>
    <row r="16">
      <c r="A16" s="3" t="inlineStr">
        <is>
          <t>Net profit</t>
        </is>
      </c>
      <c r="B16" s="13">
        <f>B14-B15</f>
        <v/>
      </c>
      <c r="C16" s="13">
        <f>C14-C15</f>
        <v/>
      </c>
      <c r="D16" s="13">
        <f>D14-D15</f>
        <v/>
      </c>
      <c r="E16" s="13">
        <f>E14-E15</f>
        <v/>
      </c>
      <c r="F16" s="13">
        <f>F14-F15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</cols>
  <sheetData>
    <row r="1" ht="48" customHeight="1">
      <c r="A1" s="1" t="inlineStr">
        <is>
          <t>Anomaly detector</t>
        </is>
      </c>
    </row>
    <row r="2">
      <c r="A2" s="5" t="inlineStr">
        <is>
          <t>Flags values more than X standard deviations from the average (sample standard deviation).</t>
        </is>
      </c>
    </row>
    <row r="4">
      <c r="A4" s="3" t="inlineStr">
        <is>
          <t>X (std devs)</t>
        </is>
      </c>
      <c r="B4" s="7" t="n">
        <v>2</v>
      </c>
    </row>
    <row r="6">
      <c r="A6" s="6" t="inlineStr">
        <is>
          <t>Transaction</t>
        </is>
      </c>
      <c r="B6" s="6" t="inlineStr">
        <is>
          <t>Amount</t>
        </is>
      </c>
      <c r="C6" s="6" t="inlineStr">
        <is>
          <t>Z-score</t>
        </is>
      </c>
      <c r="D6" s="6" t="inlineStr">
        <is>
          <t>Flag</t>
        </is>
      </c>
    </row>
    <row r="7">
      <c r="A7" s="4" t="inlineStr">
        <is>
          <t>T-01</t>
        </is>
      </c>
      <c r="B7" s="8" t="n">
        <v>120</v>
      </c>
      <c r="C7" s="15">
        <f>(B7-$B$29)/$B$30</f>
        <v/>
      </c>
      <c r="D7" s="3">
        <f>IF(ABS(C7)&gt;$B$4,"FLAG","")</f>
        <v/>
      </c>
    </row>
    <row r="8">
      <c r="A8" s="4" t="inlineStr">
        <is>
          <t>T-02</t>
        </is>
      </c>
      <c r="B8" s="8" t="n">
        <v>135</v>
      </c>
      <c r="C8" s="15">
        <f>(B8-$B$29)/$B$30</f>
        <v/>
      </c>
      <c r="D8" s="3">
        <f>IF(ABS(C8)&gt;$B$4,"FLAG","")</f>
        <v/>
      </c>
    </row>
    <row r="9">
      <c r="A9" s="4" t="inlineStr">
        <is>
          <t>T-03</t>
        </is>
      </c>
      <c r="B9" s="8" t="n">
        <v>128</v>
      </c>
      <c r="C9" s="15">
        <f>(B9-$B$29)/$B$30</f>
        <v/>
      </c>
      <c r="D9" s="3">
        <f>IF(ABS(C9)&gt;$B$4,"FLAG","")</f>
        <v/>
      </c>
    </row>
    <row r="10">
      <c r="A10" s="4" t="inlineStr">
        <is>
          <t>T-04</t>
        </is>
      </c>
      <c r="B10" s="8" t="n">
        <v>110</v>
      </c>
      <c r="C10" s="15">
        <f>(B10-$B$29)/$B$30</f>
        <v/>
      </c>
      <c r="D10" s="3">
        <f>IF(ABS(C10)&gt;$B$4,"FLAG","")</f>
        <v/>
      </c>
    </row>
    <row r="11">
      <c r="A11" s="4" t="inlineStr">
        <is>
          <t>T-05</t>
        </is>
      </c>
      <c r="B11" s="8" t="n">
        <v>142</v>
      </c>
      <c r="C11" s="15">
        <f>(B11-$B$29)/$B$30</f>
        <v/>
      </c>
      <c r="D11" s="3">
        <f>IF(ABS(C11)&gt;$B$4,"FLAG","")</f>
        <v/>
      </c>
    </row>
    <row r="12">
      <c r="A12" s="4" t="inlineStr">
        <is>
          <t>T-06</t>
        </is>
      </c>
      <c r="B12" s="8" t="n">
        <v>125</v>
      </c>
      <c r="C12" s="15">
        <f>(B12-$B$29)/$B$30</f>
        <v/>
      </c>
      <c r="D12" s="3">
        <f>IF(ABS(C12)&gt;$B$4,"FLAG","")</f>
        <v/>
      </c>
    </row>
    <row r="13">
      <c r="A13" s="4" t="inlineStr">
        <is>
          <t>T-07</t>
        </is>
      </c>
      <c r="B13" s="8" t="n">
        <v>131</v>
      </c>
      <c r="C13" s="15">
        <f>(B13-$B$29)/$B$30</f>
        <v/>
      </c>
      <c r="D13" s="3">
        <f>IF(ABS(C13)&gt;$B$4,"FLAG","")</f>
        <v/>
      </c>
    </row>
    <row r="14">
      <c r="A14" s="4" t="inlineStr">
        <is>
          <t>T-08</t>
        </is>
      </c>
      <c r="B14" s="8" t="n">
        <v>119</v>
      </c>
      <c r="C14" s="15">
        <f>(B14-$B$29)/$B$30</f>
        <v/>
      </c>
      <c r="D14" s="3">
        <f>IF(ABS(C14)&gt;$B$4,"FLAG","")</f>
        <v/>
      </c>
    </row>
    <row r="15">
      <c r="A15" s="4" t="inlineStr">
        <is>
          <t>T-09</t>
        </is>
      </c>
      <c r="B15" s="8" t="n">
        <v>138</v>
      </c>
      <c r="C15" s="15">
        <f>(B15-$B$29)/$B$30</f>
        <v/>
      </c>
      <c r="D15" s="3">
        <f>IF(ABS(C15)&gt;$B$4,"FLAG","")</f>
        <v/>
      </c>
    </row>
    <row r="16">
      <c r="A16" s="4" t="inlineStr">
        <is>
          <t>T-10</t>
        </is>
      </c>
      <c r="B16" s="8" t="n">
        <v>127</v>
      </c>
      <c r="C16" s="15">
        <f>(B16-$B$29)/$B$30</f>
        <v/>
      </c>
      <c r="D16" s="3">
        <f>IF(ABS(C16)&gt;$B$4,"FLAG","")</f>
        <v/>
      </c>
    </row>
    <row r="17">
      <c r="A17" s="4" t="inlineStr">
        <is>
          <t>T-11</t>
        </is>
      </c>
      <c r="B17" s="8" t="n">
        <v>900</v>
      </c>
      <c r="C17" s="15">
        <f>(B17-$B$29)/$B$30</f>
        <v/>
      </c>
      <c r="D17" s="3">
        <f>IF(ABS(C17)&gt;$B$4,"FLAG","")</f>
        <v/>
      </c>
    </row>
    <row r="18">
      <c r="A18" s="4" t="inlineStr">
        <is>
          <t>T-12</t>
        </is>
      </c>
      <c r="B18" s="8" t="n">
        <v>122</v>
      </c>
      <c r="C18" s="15">
        <f>(B18-$B$29)/$B$30</f>
        <v/>
      </c>
      <c r="D18" s="3">
        <f>IF(ABS(C18)&gt;$B$4,"FLAG","")</f>
        <v/>
      </c>
    </row>
    <row r="19">
      <c r="A19" s="4" t="inlineStr">
        <is>
          <t>T-13</t>
        </is>
      </c>
      <c r="B19" s="8" t="n">
        <v>133</v>
      </c>
      <c r="C19" s="15">
        <f>(B19-$B$29)/$B$30</f>
        <v/>
      </c>
      <c r="D19" s="3">
        <f>IF(ABS(C19)&gt;$B$4,"FLAG","")</f>
        <v/>
      </c>
    </row>
    <row r="20">
      <c r="A20" s="4" t="inlineStr">
        <is>
          <t>T-14</t>
        </is>
      </c>
      <c r="B20" s="8" t="n">
        <v>117</v>
      </c>
      <c r="C20" s="15">
        <f>(B20-$B$29)/$B$30</f>
        <v/>
      </c>
      <c r="D20" s="3">
        <f>IF(ABS(C20)&gt;$B$4,"FLAG","")</f>
        <v/>
      </c>
    </row>
    <row r="21">
      <c r="A21" s="4" t="inlineStr">
        <is>
          <t>T-15</t>
        </is>
      </c>
      <c r="B21" s="8" t="n">
        <v>129</v>
      </c>
      <c r="C21" s="15">
        <f>(B21-$B$29)/$B$30</f>
        <v/>
      </c>
      <c r="D21" s="3">
        <f>IF(ABS(C21)&gt;$B$4,"FLAG","")</f>
        <v/>
      </c>
    </row>
    <row r="22">
      <c r="A22" s="4" t="inlineStr">
        <is>
          <t>T-16</t>
        </is>
      </c>
      <c r="B22" s="8" t="n">
        <v>141</v>
      </c>
      <c r="C22" s="15">
        <f>(B22-$B$29)/$B$30</f>
        <v/>
      </c>
      <c r="D22" s="3">
        <f>IF(ABS(C22)&gt;$B$4,"FLAG","")</f>
        <v/>
      </c>
    </row>
    <row r="23">
      <c r="A23" s="4" t="inlineStr">
        <is>
          <t>T-17</t>
        </is>
      </c>
      <c r="B23" s="8" t="n">
        <v>124</v>
      </c>
      <c r="C23" s="15">
        <f>(B23-$B$29)/$B$30</f>
        <v/>
      </c>
      <c r="D23" s="3">
        <f>IF(ABS(C23)&gt;$B$4,"FLAG","")</f>
        <v/>
      </c>
    </row>
    <row r="24">
      <c r="A24" s="4" t="inlineStr">
        <is>
          <t>T-18</t>
        </is>
      </c>
      <c r="B24" s="8" t="n">
        <v>-350</v>
      </c>
      <c r="C24" s="15">
        <f>(B24-$B$29)/$B$30</f>
        <v/>
      </c>
      <c r="D24" s="3">
        <f>IF(ABS(C24)&gt;$B$4,"FLAG","")</f>
        <v/>
      </c>
    </row>
    <row r="25">
      <c r="A25" s="4" t="inlineStr">
        <is>
          <t>T-19</t>
        </is>
      </c>
      <c r="B25" s="8" t="n">
        <v>130</v>
      </c>
      <c r="C25" s="15">
        <f>(B25-$B$29)/$B$30</f>
        <v/>
      </c>
      <c r="D25" s="3">
        <f>IF(ABS(C25)&gt;$B$4,"FLAG","")</f>
        <v/>
      </c>
    </row>
    <row r="26">
      <c r="A26" s="4" t="inlineStr">
        <is>
          <t>T-20</t>
        </is>
      </c>
      <c r="B26" s="8" t="n">
        <v>126</v>
      </c>
      <c r="C26" s="15">
        <f>(B26-$B$29)/$B$30</f>
        <v/>
      </c>
      <c r="D26" s="3">
        <f>IF(ABS(C26)&gt;$B$4,"FLAG","")</f>
        <v/>
      </c>
    </row>
    <row r="29">
      <c r="A29" s="3" t="inlineStr">
        <is>
          <t>Mean</t>
        </is>
      </c>
      <c r="B29" s="16">
        <f>AVERAGE(B7:B26)</f>
        <v/>
      </c>
    </row>
    <row r="30">
      <c r="A30" s="3" t="inlineStr">
        <is>
          <t>Std dev (sample)</t>
        </is>
      </c>
      <c r="B30" s="16">
        <f>STDEV(B7:B26)</f>
        <v/>
      </c>
    </row>
    <row r="31">
      <c r="A31" s="3" t="inlineStr">
        <is>
          <t>Flagged</t>
        </is>
      </c>
      <c r="B31" s="4">
        <f>COUNTIF(D7:D26,"FLAG")</f>
        <v/>
      </c>
    </row>
  </sheetData>
  <conditionalFormatting sqref="A7:D26">
    <cfRule type="expression" priority="1" dxfId="0">
      <formula>$D7="FLAG"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6" max="6"/>
    <col width="12" customWidth="1" min="7" max="7"/>
  </cols>
  <sheetData>
    <row r="1" ht="48" customHeight="1">
      <c r="A1" s="1" t="inlineStr">
        <is>
          <t>Forecast</t>
        </is>
      </c>
    </row>
    <row r="2">
      <c r="A2" s="5" t="inlineStr">
        <is>
          <t>Linear trend (FORECAST) from 12 months of history to the next 6.</t>
        </is>
      </c>
    </row>
    <row r="4">
      <c r="A4" s="6" t="inlineStr">
        <is>
          <t>Month index</t>
        </is>
      </c>
      <c r="B4" s="6" t="inlineStr">
        <is>
          <t>Actual</t>
        </is>
      </c>
      <c r="C4" s="6" t="inlineStr">
        <is>
          <t>Forecast</t>
        </is>
      </c>
      <c r="D4" s="6" t="inlineStr">
        <is>
          <t>Label</t>
        </is>
      </c>
      <c r="F4" s="3" t="inlineStr">
        <is>
          <t>Slope</t>
        </is>
      </c>
      <c r="G4" s="15">
        <f>SLOPE(B5:B16,A5:A16)</f>
        <v/>
      </c>
    </row>
    <row r="5">
      <c r="A5" s="4" t="n">
        <v>1</v>
      </c>
      <c r="B5" s="8" t="n">
        <v>210</v>
      </c>
      <c r="C5" s="4" t="n"/>
      <c r="D5" s="4" t="inlineStr">
        <is>
          <t>history</t>
        </is>
      </c>
      <c r="F5" s="3" t="inlineStr">
        <is>
          <t>Intercept</t>
        </is>
      </c>
      <c r="G5" s="15">
        <f>INTERCEPT(B5:B16,A5:A16)</f>
        <v/>
      </c>
    </row>
    <row r="6">
      <c r="A6" s="4" t="n">
        <v>2</v>
      </c>
      <c r="B6" s="8" t="n">
        <v>218</v>
      </c>
      <c r="C6" s="4" t="n"/>
      <c r="D6" s="4" t="inlineStr">
        <is>
          <t>history</t>
        </is>
      </c>
    </row>
    <row r="7">
      <c r="A7" s="4" t="n">
        <v>3</v>
      </c>
      <c r="B7" s="8" t="n">
        <v>225</v>
      </c>
      <c r="C7" s="4" t="n"/>
      <c r="D7" s="4" t="inlineStr">
        <is>
          <t>history</t>
        </is>
      </c>
    </row>
    <row r="8">
      <c r="A8" s="4" t="n">
        <v>4</v>
      </c>
      <c r="B8" s="8" t="n">
        <v>231</v>
      </c>
      <c r="C8" s="4" t="n"/>
      <c r="D8" s="4" t="inlineStr">
        <is>
          <t>history</t>
        </is>
      </c>
    </row>
    <row r="9">
      <c r="A9" s="4" t="n">
        <v>5</v>
      </c>
      <c r="B9" s="8" t="n">
        <v>240</v>
      </c>
      <c r="C9" s="4" t="n"/>
      <c r="D9" s="4" t="inlineStr">
        <is>
          <t>history</t>
        </is>
      </c>
    </row>
    <row r="10">
      <c r="A10" s="4" t="n">
        <v>6</v>
      </c>
      <c r="B10" s="8" t="n">
        <v>244</v>
      </c>
      <c r="C10" s="4" t="n"/>
      <c r="D10" s="4" t="inlineStr">
        <is>
          <t>history</t>
        </is>
      </c>
    </row>
    <row r="11">
      <c r="A11" s="4" t="n">
        <v>7</v>
      </c>
      <c r="B11" s="8" t="n">
        <v>255</v>
      </c>
      <c r="C11" s="4" t="n"/>
      <c r="D11" s="4" t="inlineStr">
        <is>
          <t>history</t>
        </is>
      </c>
    </row>
    <row r="12">
      <c r="A12" s="4" t="n">
        <v>8</v>
      </c>
      <c r="B12" s="8" t="n">
        <v>262</v>
      </c>
      <c r="C12" s="4" t="n"/>
      <c r="D12" s="4" t="inlineStr">
        <is>
          <t>history</t>
        </is>
      </c>
    </row>
    <row r="13">
      <c r="A13" s="4" t="n">
        <v>9</v>
      </c>
      <c r="B13" s="8" t="n">
        <v>266</v>
      </c>
      <c r="C13" s="4" t="n"/>
      <c r="D13" s="4" t="inlineStr">
        <is>
          <t>history</t>
        </is>
      </c>
    </row>
    <row r="14">
      <c r="A14" s="4" t="n">
        <v>10</v>
      </c>
      <c r="B14" s="8" t="n">
        <v>278</v>
      </c>
      <c r="C14" s="4" t="n"/>
      <c r="D14" s="4" t="inlineStr">
        <is>
          <t>history</t>
        </is>
      </c>
    </row>
    <row r="15">
      <c r="A15" s="4" t="n">
        <v>11</v>
      </c>
      <c r="B15" s="8" t="n">
        <v>283</v>
      </c>
      <c r="C15" s="4" t="n"/>
      <c r="D15" s="4" t="inlineStr">
        <is>
          <t>history</t>
        </is>
      </c>
    </row>
    <row r="16">
      <c r="A16" s="4" t="n">
        <v>12</v>
      </c>
      <c r="B16" s="8" t="n">
        <v>291</v>
      </c>
      <c r="C16" s="4" t="n"/>
      <c r="D16" s="4" t="inlineStr">
        <is>
          <t>history</t>
        </is>
      </c>
    </row>
    <row r="17">
      <c r="A17" s="4" t="n">
        <v>13</v>
      </c>
      <c r="B17" s="4" t="n"/>
      <c r="C17" s="16">
        <f>FORECAST(A17,$B$5:$B$16,$A$5:$A$16)</f>
        <v/>
      </c>
      <c r="D17" s="4" t="inlineStr">
        <is>
          <t>forecast</t>
        </is>
      </c>
    </row>
    <row r="18">
      <c r="A18" s="4" t="n">
        <v>14</v>
      </c>
      <c r="B18" s="4" t="n"/>
      <c r="C18" s="16">
        <f>FORECAST(A18,$B$5:$B$16,$A$5:$A$16)</f>
        <v/>
      </c>
      <c r="D18" s="4" t="inlineStr">
        <is>
          <t>forecast</t>
        </is>
      </c>
    </row>
    <row r="19">
      <c r="A19" s="4" t="n">
        <v>15</v>
      </c>
      <c r="B19" s="4" t="n"/>
      <c r="C19" s="16">
        <f>FORECAST(A19,$B$5:$B$16,$A$5:$A$16)</f>
        <v/>
      </c>
      <c r="D19" s="4" t="inlineStr">
        <is>
          <t>forecast</t>
        </is>
      </c>
    </row>
    <row r="20">
      <c r="A20" s="4" t="n">
        <v>16</v>
      </c>
      <c r="B20" s="4" t="n"/>
      <c r="C20" s="16">
        <f>FORECAST(A20,$B$5:$B$16,$A$5:$A$16)</f>
        <v/>
      </c>
      <c r="D20" s="4" t="inlineStr">
        <is>
          <t>forecast</t>
        </is>
      </c>
    </row>
    <row r="21">
      <c r="A21" s="4" t="n">
        <v>17</v>
      </c>
      <c r="B21" s="4" t="n"/>
      <c r="C21" s="16">
        <f>FORECAST(A21,$B$5:$B$16,$A$5:$A$16)</f>
        <v/>
      </c>
      <c r="D21" s="4" t="inlineStr">
        <is>
          <t>forecast</t>
        </is>
      </c>
    </row>
    <row r="22">
      <c r="A22" s="4" t="n">
        <v>18</v>
      </c>
      <c r="B22" s="4" t="n"/>
      <c r="C22" s="16">
        <f>FORECAST(A22,$B$5:$B$16,$A$5:$A$16)</f>
        <v/>
      </c>
      <c r="D22" s="4" t="inlineStr">
        <is>
          <t>forecast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2026-10-28T14:40:58Z</dcterms:created>
  <dcterms:modified xmlns:dcterms="http://purl.org/dc/terms/" xmlns:xsi="http://www.w3.org/2001/XMLSchema-instance" xsi:type="dcterms:W3CDTF">2026-10-28T14:40:58Z</dcterms:modified>
</cp:coreProperties>
</file>